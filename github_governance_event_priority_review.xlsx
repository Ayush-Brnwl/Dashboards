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19b35577d84c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02da5c42ef4c0e"/>
    <x:sheet xmlns:r="http://schemas.openxmlformats.org/officeDocument/2006/relationships" name="Event Catalogue" sheetId="2" r:id="R8c5da7960b654d8e"/>
    <x:sheet xmlns:r="http://schemas.openxmlformats.org/officeDocument/2006/relationships" name="Priority Framework" sheetId="3" r:id="R255ebd78d4484028"/>
    <x:sheet xmlns:r="http://schemas.openxmlformats.org/officeDocument/2006/relationships" name="Stakeholder Review" sheetId="4" r:id="Ra4dfa4d6d8354f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3B60"/>
      </x:patternFill>
    </x:fill>
    <x:fill>
      <x:patternFill patternType="solid">
        <x:fgColor rgb="FFDCEAF7"/>
      </x:patternFill>
    </x:fill>
    <x:fill>
      <x:patternFill patternType="solid">
        <x:fgColor rgb="FF155E75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a9ee82848c4028" /><Relationship Type="http://schemas.openxmlformats.org/officeDocument/2006/relationships/theme" Target="/xl/theme/theme1.xml" Id="R9724689a8ef24a0f" /><Relationship Type="http://schemas.openxmlformats.org/officeDocument/2006/relationships/sharedStrings" Target="/xl/sharedStrings.xml" Id="Rca3e6f91434a498f" /><Relationship Type="http://schemas.openxmlformats.org/officeDocument/2006/relationships/worksheet" Target="/xl/worksheets/sheet1.xml" Id="Rf102da5c42ef4c0e" /><Relationship Type="http://schemas.openxmlformats.org/officeDocument/2006/relationships/worksheet" Target="/xl/worksheets/sheet2.xml" Id="R8c5da7960b654d8e" /><Relationship Type="http://schemas.openxmlformats.org/officeDocument/2006/relationships/worksheet" Target="/xl/worksheets/sheet3.xml" Id="R255ebd78d4484028" /><Relationship Type="http://schemas.openxmlformats.org/officeDocument/2006/relationships/worksheet" Target="/xl/worksheets/sheet4.xml" Id="Ra4dfa4d6d8354fe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bbbadfe5f3f487a" /><Relationship Type="http://schemas.openxmlformats.org/officeDocument/2006/relationships/chart" Target="/xl/drawings/charts/chart2.xml" Id="R7d3ae3c874d74e3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Proposed Events by Priority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Event Count</c:v>
          </c:tx>
          <c:cat>
            <c:strRef>
              <c:f>'Summary'!$A$5:$A$8</c:f>
              <c:strCache>
                <c:ptCount val="0"/>
              </c:strCache>
            </c:strRef>
          </c:cat>
          <c:val>
            <c:numRef>
              <c:f>'Summary'!$B$5:$B$8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Events by Governance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Events</c:v>
          </c:tx>
          <c:cat>
            <c:strRef>
              <c:f>'Summary'!$A$13:$A$20</c:f>
              <c:strCache>
                <c:ptCount val="0"/>
              </c:strCache>
            </c:strRef>
          </c:cat>
          <c:val>
            <c:numRef>
              <c:f>'Summary'!$B$13:$B$20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bbadfe5f3f487a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3ae3c874d74e3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overnanceEventCatalogue" displayName="GovernanceEventCatalogue" ref="A1:O106" headerRowCount="1">
  <x:tableColumns count="15">
    <x:tableColumn id="1" name="Event ID"/>
    <x:tableColumn id="2" name="Governance Area"/>
    <x:tableColumn id="3" name="Canonical Event Type"/>
    <x:tableColumn id="4" name="Coverage Recommendation"/>
    <x:tableColumn id="5" name="Proposed Default Priority"/>
    <x:tableColumn id="6" name="Default Dashboard Visibility"/>
    <x:tableColumn id="7" name="Alert Candidate"/>
    <x:tableColumn id="8" name="Escalation / Alert Condition"/>
    <x:tableColumn id="9" name="Why This Matters"/>
    <x:tableColumn id="10" name="Exception / Suppression Guidance"/>
    <x:tableColumn id="11" name="Example Action or Mapping Note"/>
    <x:tableColumn id="12" name="Mapping Confidence"/>
    <x:tableColumn id="13" name="Reviewer Decision"/>
    <x:tableColumn id="14" name="Final Priority"/>
    <x:tableColumn id="15" name="Reviewer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5dc620240054d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e1c539e41f4f47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4" hidden="0" customWidth="1"/>
    <x:col min="4" max="4" width="30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30" t="str">
        <x:v>GitHub Governance Event Priority Review</x:v>
      </x:c>
      <x:c r="B1" s="30"/>
      <x:c r="C1" s="30"/>
      <x:c r="D1" s="30"/>
      <x:c r="E1" s="30"/>
      <x:c r="F1" s="30"/>
      <x:c r="G1" s="30"/>
      <x:c r="H1" s="30"/>
    </x:row>
    <x:row r="2" ht="38" customHeight="1">
      <x:c r="A2" s="12" t="str">
        <x:v>Draft catalogue for stakeholder review. Proposed priorities are defaults; use the condition columns to decide escalation, suppression, and alerting.</x:v>
      </x:c>
      <x:c r="B2" s="12"/>
      <x:c r="C2" s="12"/>
      <x:c r="D2" s="12"/>
      <x:c r="E2" s="12"/>
      <x:c r="F2" s="12"/>
      <x:c r="G2" s="12"/>
      <x:c r="H2" s="12"/>
    </x:row>
    <x:row r="3">
      <x:c r="A3" s="31"/>
      <x:c r="B3" s="31"/>
      <x:c r="C3" s="31"/>
      <x:c r="D3" s="31"/>
      <x:c r="E3" s="31"/>
      <x:c r="F3" s="31"/>
      <x:c r="G3" s="31"/>
      <x:c r="H3" s="31"/>
    </x:row>
    <x:row r="4">
      <x:c r="A4" s="20" t="str">
        <x:v>Priority</x:v>
      </x:c>
      <x:c r="B4" s="20" t="str">
        <x:v>Event Count</x:v>
      </x:c>
      <x:c r="C4" s="31"/>
      <x:c r="D4" s="20" t="str">
        <x:v>Alert Candidate</x:v>
      </x:c>
      <x:c r="E4" s="20" t="str">
        <x:v>Event Count</x:v>
      </x:c>
      <x:c r="F4" s="31"/>
      <x:c r="G4" s="31"/>
      <x:c r="H4" s="31"/>
    </x:row>
    <x:row r="5">
      <x:c r="A5" s="31" t="str">
        <x:v>CRITICAL</x:v>
      </x:c>
      <x:c r="B5" s="31" t="n">
        <x:f>COUNTIF('Event Catalogue'!$E:$E,A5)</x:f>
        <x:v>18</x:v>
      </x:c>
      <x:c r="C5" s="31"/>
      <x:c r="D5" s="31" t="str">
        <x:v>YES</x:v>
      </x:c>
      <x:c r="E5" s="31" t="n">
        <x:f>COUNTIF('Event Catalogue'!$G:$G,D5)</x:f>
        <x:v>62</x:v>
      </x:c>
      <x:c r="F5" s="31"/>
      <x:c r="G5" s="31"/>
      <x:c r="H5" s="31"/>
    </x:row>
    <x:row r="6">
      <x:c r="A6" s="31" t="str">
        <x:v>HIGH</x:v>
      </x:c>
      <x:c r="B6" s="31" t="n">
        <x:f>COUNTIF('Event Catalogue'!$E:$E,A6)</x:f>
        <x:v>49</x:v>
      </x:c>
      <x:c r="C6" s="31"/>
      <x:c r="D6" s="31" t="str">
        <x:v>CONDITIONAL</x:v>
      </x:c>
      <x:c r="E6" s="31" t="n">
        <x:f>COUNTIF('Event Catalogue'!$G:$G,D6)</x:f>
        <x:v>30</x:v>
      </x:c>
      <x:c r="F6" s="31"/>
      <x:c r="G6" s="31"/>
      <x:c r="H6" s="31"/>
    </x:row>
    <x:row r="7">
      <x:c r="A7" s="31" t="str">
        <x:v>MEDIUM</x:v>
      </x:c>
      <x:c r="B7" s="31" t="n">
        <x:f>COUNTIF('Event Catalogue'!$E:$E,A7)</x:f>
        <x:v>27</x:v>
      </x:c>
      <x:c r="C7" s="31"/>
      <x:c r="D7" s="31" t="str">
        <x:v>NO</x:v>
      </x:c>
      <x:c r="E7" s="31" t="n">
        <x:f>COUNTIF('Event Catalogue'!$G:$G,D7)</x:f>
        <x:v>13</x:v>
      </x:c>
      <x:c r="F7" s="31"/>
      <x:c r="G7" s="31"/>
      <x:c r="H7" s="31"/>
    </x:row>
    <x:row r="8">
      <x:c r="A8" s="31" t="str">
        <x:v>LOW</x:v>
      </x:c>
      <x:c r="B8" s="31" t="n">
        <x:f>COUNTIF('Event Catalogue'!$E:$E,A8)</x:f>
        <x:v>11</x:v>
      </x:c>
      <x:c r="C8" s="31"/>
      <x:c r="D8" s="31" t="str">
        <x:v>Total</x:v>
      </x:c>
      <x:c r="E8" s="31" t="n">
        <x:f>COUNTA('Event Catalogue'!$A:$A)-1</x:f>
        <x:v>105</x:v>
      </x:c>
      <x:c r="F8" s="31"/>
      <x:c r="G8" s="31"/>
      <x:c r="H8" s="31"/>
    </x:row>
    <x:row r="9">
      <x:c r="A9" s="31" t="str">
        <x:v>Total</x:v>
      </x:c>
      <x:c r="B9" s="31" t="n">
        <x:f>COUNTA('Event Catalogue'!$A:$A)-1</x:f>
        <x:v>105</x:v>
      </x:c>
      <x:c r="C9" s="31"/>
      <x:c r="D9" s="31"/>
      <x:c r="E9" s="31"/>
      <x:c r="F9" s="31"/>
      <x:c r="G9" s="31"/>
      <x:c r="H9" s="31"/>
    </x:row>
    <x:row r="10">
      <x:c r="A10" s="31"/>
      <x:c r="B10" s="31"/>
      <x:c r="C10" s="31"/>
      <x:c r="D10" s="31"/>
      <x:c r="E10" s="31"/>
      <x:c r="F10" s="31"/>
      <x:c r="G10" s="31"/>
      <x:c r="H10" s="31"/>
    </x:row>
    <x:row r="11">
      <x:c r="A11" s="31"/>
      <x:c r="B11" s="31"/>
      <x:c r="C11" s="31"/>
      <x:c r="D11" s="31"/>
      <x:c r="E11" s="31"/>
      <x:c r="F11" s="31"/>
      <x:c r="G11" s="31"/>
      <x:c r="H11" s="31"/>
    </x:row>
    <x:row r="12">
      <x:c r="A12" s="20" t="str">
        <x:v>Governance Area</x:v>
      </x:c>
      <x:c r="B12" s="20" t="str">
        <x:v>Events</x:v>
      </x:c>
      <x:c r="C12" s="31"/>
      <x:c r="D12" s="20" t="str">
        <x:v>Coverage Recommendation</x:v>
      </x:c>
      <x:c r="E12" s="20" t="str">
        <x:v>Events</x:v>
      </x:c>
      <x:c r="F12" s="31"/>
      <x:c r="G12" s="31"/>
      <x:c r="H12" s="31"/>
    </x:row>
    <x:row r="13">
      <x:c r="A13" s="31" t="str">
        <x:v>IDENTITY_AND_SERVICE_ACCOUNT_AVAILABILITY</x:v>
      </x:c>
      <x:c r="B13" s="31" t="n">
        <x:f>COUNTIF('Event Catalogue'!$B:$B,A13)</x:f>
        <x:v>15</x:v>
      </x:c>
      <x:c r="C13" s="31"/>
      <x:c r="D13" s="31" t="str">
        <x:v>Existing</x:v>
      </x:c>
      <x:c r="E13" s="31" t="n">
        <x:f>COUNTIF('Event Catalogue'!$D:$D,"Existing")</x:f>
        <x:v>31</x:v>
      </x:c>
      <x:c r="F13" s="31"/>
      <x:c r="G13" s="31"/>
      <x:c r="H13" s="31"/>
    </x:row>
    <x:row r="14">
      <x:c r="A14" s="31" t="str">
        <x:v>ACCESS_GOVERNANCE</x:v>
      </x:c>
      <x:c r="B14" s="31" t="n">
        <x:f>COUNTIF('Event Catalogue'!$B:$B,A14)</x:f>
        <x:v>15</x:v>
      </x:c>
      <x:c r="C14" s="31"/>
      <x:c r="D14" s="31" t="str">
        <x:v>Add</x:v>
      </x:c>
      <x:c r="E14" s="31" t="n">
        <x:f>COUNTIF('Event Catalogue'!$D:$D,"Add")</x:f>
        <x:v>66</x:v>
      </x:c>
      <x:c r="F14" s="31"/>
      <x:c r="G14" s="31"/>
      <x:c r="H14" s="31"/>
    </x:row>
    <x:row r="15">
      <x:c r="A15" s="31" t="str">
        <x:v>OAUTH_ACCESS_GOVERNANCE</x:v>
      </x:c>
      <x:c r="B15" s="31" t="n">
        <x:f>COUNTIF('Event Catalogue'!$B:$B,A15)</x:f>
        <x:v>9</x:v>
      </x:c>
      <x:c r="C15" s="31"/>
      <x:c r="D15" s="31" t="str">
        <x:v>Split / merge needed</x:v>
      </x:c>
      <x:c r="E15" s="31" t="n">
        <x:f>COUNTIF('Event Catalogue'!$D:$D,"*Split*")+COUNTIF('Event Catalogue'!$D:$D,"*merge*")</x:f>
        <x:v>0</x:v>
      </x:c>
      <x:c r="F15" s="31"/>
      <x:c r="G15" s="31"/>
      <x:c r="H15" s="31"/>
    </x:row>
    <x:row r="16">
      <x:c r="A16" s="31" t="str">
        <x:v>BRANCH_AND_MERGE_CONTROLS</x:v>
      </x:c>
      <x:c r="B16" s="31" t="n">
        <x:f>COUNTIF('Event Catalogue'!$B:$B,A16)</x:f>
        <x:v>16</x:v>
      </x:c>
      <x:c r="C16" s="31"/>
      <x:c r="D16" s="31" t="str">
        <x:v>Other</x:v>
      </x:c>
      <x:c r="E16" s="31" t="n">
        <x:f>E17-SUM(E13:E15)</x:f>
        <x:v>8</x:v>
      </x:c>
      <x:c r="F16" s="31"/>
      <x:c r="G16" s="31"/>
      <x:c r="H16" s="31"/>
    </x:row>
    <x:row r="17">
      <x:c r="A17" s="31" t="str">
        <x:v>ADVANCED_SECURITY_POSTURE</x:v>
      </x:c>
      <x:c r="B17" s="31" t="n">
        <x:f>COUNTIF('Event Catalogue'!$B:$B,A17)</x:f>
        <x:v>16</x:v>
      </x:c>
      <x:c r="C17" s="31"/>
      <x:c r="D17" s="31" t="str">
        <x:v>Total</x:v>
      </x:c>
      <x:c r="E17" s="31" t="n">
        <x:f>COUNTA('Event Catalogue'!$A:$A)-1</x:f>
        <x:v>105</x:v>
      </x:c>
      <x:c r="F17" s="31"/>
      <x:c r="G17" s="31"/>
      <x:c r="H17" s="31"/>
    </x:row>
    <x:row r="18">
      <x:c r="A18" s="31" t="str">
        <x:v>REPOSITORY_SECURITY_POSTURE</x:v>
      </x:c>
      <x:c r="B18" s="31" t="n">
        <x:f>COUNTIF('Event Catalogue'!$B:$B,A18)</x:f>
        <x:v>10</x:v>
      </x:c>
      <x:c r="C18" s="31"/>
      <x:c r="D18" s="31"/>
      <x:c r="E18" s="31"/>
      <x:c r="F18" s="31"/>
      <x:c r="G18" s="31"/>
      <x:c r="H18" s="31"/>
    </x:row>
    <x:row r="19">
      <x:c r="A19" s="31" t="str">
        <x:v>WORKFLOW_AND_AUTOMATION_GOVERNANCE</x:v>
      </x:c>
      <x:c r="B19" s="31" t="n">
        <x:f>COUNTIF('Event Catalogue'!$B:$B,A19)</x:f>
        <x:v>14</x:v>
      </x:c>
      <x:c r="C19" s="31"/>
      <x:c r="D19" s="31"/>
      <x:c r="E19" s="31"/>
      <x:c r="F19" s="31"/>
      <x:c r="G19" s="31"/>
      <x:c r="H19" s="31"/>
    </x:row>
    <x:row r="20">
      <x:c r="A20" s="31" t="str">
        <x:v>AUDIT_AND_EVIDENCE_INTEGRITY</x:v>
      </x:c>
      <x:c r="B20" s="31" t="n">
        <x:f>COUNTIF('Event Catalogue'!$B:$B,A20)</x:f>
        <x:v>10</x:v>
      </x:c>
      <x:c r="C20" s="31"/>
      <x:c r="D20" s="31"/>
      <x:c r="E20" s="31"/>
      <x:c r="F20" s="31"/>
      <x:c r="G20" s="31"/>
      <x:c r="H20" s="31"/>
    </x:row>
    <x:row r="21">
      <x:c r="A21" s="31"/>
      <x:c r="B21" s="31"/>
      <x:c r="C21" s="31"/>
      <x:c r="D21" s="31"/>
      <x:c r="E21" s="31"/>
      <x:c r="F21" s="31"/>
      <x:c r="G21" s="31"/>
      <x:c r="H21" s="31"/>
    </x:row>
    <x:row r="22">
      <x:c r="A22" s="31"/>
      <x:c r="B22" s="31"/>
      <x:c r="C22" s="31"/>
      <x:c r="D22" s="31"/>
      <x:c r="E22" s="31"/>
      <x:c r="F22" s="31"/>
      <x:c r="G22" s="31"/>
      <x:c r="H22" s="31"/>
    </x:row>
    <x:row r="23">
      <x:c r="A23" s="20" t="str">
        <x:v>Recommended interpretation</x:v>
      </x:c>
      <x:c r="B23" s="20" t="str"/>
      <x:c r="C23" s="20" t="str"/>
      <x:c r="D23" s="20" t="str"/>
      <x:c r="E23" s="20" t="str"/>
      <x:c r="F23" s="20" t="str"/>
      <x:c r="G23" s="20" t="str"/>
      <x:c r="H23" s="20" t="str"/>
    </x:row>
    <x:row r="24">
      <x:c r="A24" s="32" t="str">
        <x:v>CRITICAL</x:v>
      </x:c>
      <x:c r="B24" s="31" t="str">
        <x:v>Immediate loss of control, exposure, evidence, or critical service availability. Alert by default; review immediately.</x:v>
      </x:c>
      <x:c r="C24" s="31" t="str"/>
      <x:c r="D24" s="31" t="str"/>
      <x:c r="E24" s="31" t="str"/>
      <x:c r="F24" s="31" t="str"/>
      <x:c r="G24" s="31" t="str"/>
      <x:c r="H24" s="31" t="str"/>
    </x:row>
    <x:row r="25">
      <x:c r="A25" s="32" t="str">
        <x:v>HIGH</x:v>
      </x:c>
      <x:c r="B25" s="31" t="str">
        <x:v>Material control weakening, privileged access change, or likely service impact. Same-day review; alert only for defined high-value conditions.</x:v>
      </x:c>
      <x:c r="C25" s="31" t="str"/>
      <x:c r="D25" s="31" t="str"/>
      <x:c r="E25" s="31" t="str"/>
      <x:c r="F25" s="31" t="str"/>
      <x:c r="G25" s="31" t="str"/>
      <x:c r="H25" s="31" t="str"/>
    </x:row>
    <x:row r="26">
      <x:c r="A26" s="32" t="str">
        <x:v>MEDIUM</x:v>
      </x:c>
      <x:c r="B26" s="31" t="str">
        <x:v>Meaningful governance change for regular review, trend analysis, and evidence. Usually no real-time alert.</x:v>
      </x:c>
      <x:c r="C26" s="31" t="str"/>
      <x:c r="D26" s="31" t="str"/>
      <x:c r="E26" s="31" t="str"/>
      <x:c r="F26" s="31" t="str"/>
      <x:c r="G26" s="31" t="str"/>
      <x:c r="H26" s="31" t="str"/>
    </x:row>
    <x:row r="27">
      <x:c r="A27" s="32" t="str">
        <x:v>LOW</x:v>
      </x:c>
      <x:c r="B27" s="31" t="str">
        <x:v>Positive, expected, recovery, or operational context. Keep as evidence; exclude from main review queue.</x:v>
      </x:c>
      <x:c r="C27" s="31" t="str"/>
      <x:c r="D27" s="31" t="str"/>
      <x:c r="E27" s="31" t="str"/>
      <x:c r="F27" s="31" t="str"/>
      <x:c r="G27" s="31" t="str"/>
      <x:c r="H27" s="31" t="str"/>
    </x:row>
  </x:sheetData>
  <x:mergeCells>
    <x:mergeCell ref="A1:H1"/>
    <x:mergeCell ref="A2:H2"/>
    <x:mergeCell ref="B23:H23"/>
    <x:mergeCell ref="B24:H24"/>
    <x:mergeCell ref="B25:H25"/>
    <x:mergeCell ref="B26:H26"/>
    <x:mergeCell ref="B27:H27"/>
  </x:mergeCells>
  <x:pageMargins left="0.7" right="0.7" top="0.75" bottom="0.75" header="0.3" footer="0.3"/>
  <x:drawing xmlns:r="http://schemas.openxmlformats.org/officeDocument/2006/relationships" r:id="R25dc620240054d4a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8" hidden="0" customWidth="1"/>
    <x:col min="4" max="4" width="25" hidden="0" customWidth="1"/>
    <x:col min="5" max="5" width="14" hidden="0" customWidth="1"/>
    <x:col min="6" max="6" width="17" hidden="0" customWidth="1"/>
    <x:col min="7" max="7" width="15" hidden="0" customWidth="1"/>
    <x:col min="8" max="8" width="36" hidden="0" customWidth="1"/>
    <x:col min="9" max="9" width="44" hidden="0" customWidth="1"/>
    <x:col min="10" max="10" width="44" hidden="0" customWidth="1"/>
    <x:col min="11" max="11" width="38" hidden="0" customWidth="1"/>
    <x:col min="12" max="12" width="14" hidden="0" customWidth="1"/>
    <x:col min="13" max="13" width="15" hidden="0" customWidth="1"/>
    <x:col min="14" max="14" width="14" hidden="0" customWidth="1"/>
    <x:col min="15" max="15" width="35" hidden="0" customWidth="1"/>
  </x:cols>
  <x:sheetData>
    <x:row r="1" ht="34" customHeight="1">
      <x:c r="A1" s="20" t="str">
        <x:v>Event ID</x:v>
      </x:c>
      <x:c r="B1" s="20" t="str">
        <x:v>Governance Area</x:v>
      </x:c>
      <x:c r="C1" s="20" t="str">
        <x:v>Canonical Event Type</x:v>
      </x:c>
      <x:c r="D1" s="20" t="str">
        <x:v>Coverage Recommendation</x:v>
      </x:c>
      <x:c r="E1" s="20" t="str">
        <x:v>Proposed Default Priority</x:v>
      </x:c>
      <x:c r="F1" s="20" t="str">
        <x:v>Default Dashboard Visibility</x:v>
      </x:c>
      <x:c r="G1" s="20" t="str">
        <x:v>Alert Candidate</x:v>
      </x:c>
      <x:c r="H1" s="20" t="str">
        <x:v>Escalation / Alert Condition</x:v>
      </x:c>
      <x:c r="I1" s="20" t="str">
        <x:v>Why This Matters</x:v>
      </x:c>
      <x:c r="J1" s="20" t="str">
        <x:v>Exception / Suppression Guidance</x:v>
      </x:c>
      <x:c r="K1" s="20" t="str">
        <x:v>Example Action or Mapping Note</x:v>
      </x:c>
      <x:c r="L1" s="20" t="str">
        <x:v>Mapping Confidence</x:v>
      </x:c>
      <x:c r="M1" s="20" t="str">
        <x:v>Reviewer Decision</x:v>
      </x:c>
      <x:c r="N1" s="20" t="str">
        <x:v>Final Priority</x:v>
      </x:c>
      <x:c r="O1" s="20" t="str">
        <x:v>Reviewer Notes</x:v>
      </x:c>
    </x:row>
    <x:row r="2">
      <x:c r="A2" s="31" t="str">
        <x:v>ID-001</x:v>
      </x:c>
      <x:c r="B2" s="31" t="str">
        <x:v>IDENTITY_AND_SERVICE_ACCOUNT_AVAILABILITY</x:v>
      </x:c>
      <x:c r="C2" s="31" t="str">
        <x:v>CRITICAL_TECHNICAL_ACCOUNT_SUSPENDED</x:v>
      </x:c>
      <x:c r="D2" s="31" t="str">
        <x:v>Existing</x:v>
      </x:c>
      <x:c r="E2" s="31" t="str">
        <x:v>CRITICAL</x:v>
      </x:c>
      <x:c r="F2" s="31" t="str">
        <x:v>Main queue</x:v>
      </x:c>
      <x:c r="G2" s="31" t="str">
        <x:v>YES</x:v>
      </x:c>
      <x:c r="H2" s="31" t="str">
        <x:v>Always</x:v>
      </x:c>
      <x:c r="I2" s="31" t="str">
        <x:v>Immediate availability/authentication risk for runner, integration, or platform service accounts.</x:v>
      </x:c>
      <x:c r="J2" s="31" t="str">
        <x:v>Do not suppress through a generic actor wildcard; require an explicit event-specific suppression.</x:v>
      </x:c>
      <x:c r="K2" s="31" t="str">
        <x:v>user.suspend; enterprise/org user suspension mapped to critical-identity registry</x:v>
      </x:c>
      <x:c r="L2" s="31" t="str">
        <x:v>HIGH</x:v>
      </x:c>
      <x:c r="M2" s="31" t="str">
        <x:v>Accept</x:v>
      </x:c>
      <x:c r="N2" s="31" t="str"/>
      <x:c r="O2" s="31" t="str"/>
    </x:row>
    <x:row r="3">
      <x:c r="A3" s="31" t="str">
        <x:v>ID-002</x:v>
      </x:c>
      <x:c r="B3" s="31" t="str">
        <x:v>IDENTITY_AND_SERVICE_ACCOUNT_AVAILABILITY</x:v>
      </x:c>
      <x:c r="C3" s="31" t="str">
        <x:v>CRITICAL_TECHNICAL_ACCOUNT_DELETED</x:v>
      </x:c>
      <x:c r="D3" s="31" t="str">
        <x:v>Add</x:v>
      </x:c>
      <x:c r="E3" s="31" t="str">
        <x:v>CRITICAL</x:v>
      </x:c>
      <x:c r="F3" s="31" t="str">
        <x:v>Main queue</x:v>
      </x:c>
      <x:c r="G3" s="31" t="str">
        <x:v>YES</x:v>
      </x:c>
      <x:c r="H3" s="31" t="str">
        <x:v>Always</x:v>
      </x:c>
      <x:c r="I3" s="31" t="str">
        <x:v>Deletion can permanently break runner registration, app authentication, automation, or production access.</x:v>
      </x:c>
      <x:c r="J3" s="31" t="str">
        <x:v>No generic suppression. Explicit maintenance window only.</x:v>
      </x:c>
      <x:c r="K3" s="31" t="str">
        <x:v>User/account deletion affecting active critical identity</x:v>
      </x:c>
      <x:c r="L3" s="31" t="str">
        <x:v>MEDIUM</x:v>
      </x:c>
      <x:c r="M3" s="31" t="str">
        <x:v>Accept</x:v>
      </x:c>
      <x:c r="N3" s="31" t="str"/>
      <x:c r="O3" s="31" t="str"/>
    </x:row>
    <x:row r="4">
      <x:c r="A4" s="31" t="str">
        <x:v>ID-003</x:v>
      </x:c>
      <x:c r="B4" s="31" t="str">
        <x:v>IDENTITY_AND_SERVICE_ACCOUNT_AVAILABILITY</x:v>
      </x:c>
      <x:c r="C4" s="31" t="str">
        <x:v>CRITICAL_TECHNICAL_ACCOUNT_CREDENTIAL_REVOKED</x:v>
      </x:c>
      <x:c r="D4" s="31" t="str">
        <x:v>Add</x:v>
      </x:c>
      <x:c r="E4" s="31" t="str">
        <x:v>CRITICAL</x:v>
      </x:c>
      <x:c r="F4" s="31" t="str">
        <x:v>Main queue</x:v>
      </x:c>
      <x:c r="G4" s="31" t="str">
        <x:v>YES</x:v>
      </x:c>
      <x:c r="H4" s="31" t="str">
        <x:v>Always</x:v>
      </x:c>
      <x:c r="I4" s="31" t="str">
        <x:v>Credential revocation can immediately stop jobs, registration-token generation, or platform integrations.</x:v>
      </x:c>
      <x:c r="J4" s="31" t="str">
        <x:v>Allow suppression only for approved credential rotation with a matching replacement event.</x:v>
      </x:c>
      <x:c r="K4" s="31" t="str">
        <x:v>Token/PAT/App credential revoked for active critical identity</x:v>
      </x:c>
      <x:c r="L4" s="31" t="str">
        <x:v>MEDIUM</x:v>
      </x:c>
      <x:c r="M4" s="31" t="str">
        <x:v>Discuss</x:v>
      </x:c>
      <x:c r="N4" s="31" t="str"/>
      <x:c r="O4" s="31" t="str"/>
    </x:row>
    <x:row r="5">
      <x:c r="A5" s="31" t="str">
        <x:v>ID-004</x:v>
      </x:c>
      <x:c r="B5" s="31" t="str">
        <x:v>IDENTITY_AND_SERVICE_ACCOUNT_AVAILABILITY</x:v>
      </x:c>
      <x:c r="C5" s="31" t="str">
        <x:v>CRITICAL_TECHNICAL_ACCOUNT_RESTORED</x:v>
      </x:c>
      <x:c r="D5" s="31" t="str">
        <x:v>Existing</x:v>
      </x:c>
      <x:c r="E5" s="31" t="str">
        <x:v>LOW</x:v>
      </x:c>
      <x:c r="F5" s="31" t="str">
        <x:v>Context only</x:v>
      </x:c>
      <x:c r="G5" s="31" t="str">
        <x:v>NO</x:v>
      </x:c>
      <x:c r="H5" s="31" t="str">
        <x:v>—</x:v>
      </x:c>
      <x:c r="I5" s="31" t="str">
        <x:v>Useful recovery evidence but not an incident by itself.</x:v>
      </x:c>
      <x:c r="J5" s="31" t="str">
        <x:v>Keep visible beside the related suspension; no alert.</x:v>
      </x:c>
      <x:c r="K5" s="31" t="str">
        <x:v>user.unsuspend / restore for critical identity</x:v>
      </x:c>
      <x:c r="L5" s="31" t="str">
        <x:v>HIGH</x:v>
      </x:c>
      <x:c r="M5" s="31" t="str">
        <x:v>Accept</x:v>
      </x:c>
      <x:c r="N5" s="31" t="str"/>
      <x:c r="O5" s="31" t="str"/>
    </x:row>
    <x:row r="6">
      <x:c r="A6" s="31" t="str">
        <x:v>ID-005</x:v>
      </x:c>
      <x:c r="B6" s="31" t="str">
        <x:v>IDENTITY_AND_SERVICE_ACCOUNT_AVAILABILITY</x:v>
      </x:c>
      <x:c r="C6" s="31" t="str">
        <x:v>USER_ACCOUNT_SUSPENDED</x:v>
      </x:c>
      <x:c r="D6" s="31" t="str">
        <x:v>Existing</x:v>
      </x:c>
      <x:c r="E6" s="31" t="str">
        <x:v>MEDIUM</x:v>
      </x:c>
      <x:c r="F6" s="31" t="str">
        <x:v>Context only</x:v>
      </x:c>
      <x:c r="G6" s="31" t="str">
        <x:v>CONDITIONAL</x:v>
      </x:c>
      <x:c r="H6" s="31" t="str">
        <x:v>Escalate to HIGH for org owner, security admin, runner admin, or production operator</x:v>
      </x:c>
      <x:c r="I6" s="31" t="str">
        <x:v>Normal user suspension is meaningful evidence but usually not an urgent platform event.</x:v>
      </x:c>
      <x:c r="J6" s="31" t="str">
        <x:v>No alert for ordinary users. Alert only after privileged-role enrichment.</x:v>
      </x:c>
      <x:c r="K6" s="31" t="str">
        <x:v>user.suspend where affected identity is not in critical registry</x:v>
      </x:c>
      <x:c r="L6" s="31" t="str">
        <x:v>HIGH</x:v>
      </x:c>
      <x:c r="M6" s="31" t="str">
        <x:v>Discuss</x:v>
      </x:c>
      <x:c r="N6" s="31" t="str"/>
      <x:c r="O6" s="31" t="str"/>
    </x:row>
    <x:row r="7">
      <x:c r="A7" s="31" t="str">
        <x:v>ID-006</x:v>
      </x:c>
      <x:c r="B7" s="31" t="str">
        <x:v>IDENTITY_AND_SERVICE_ACCOUNT_AVAILABILITY</x:v>
      </x:c>
      <x:c r="C7" s="31" t="str">
        <x:v>USER_ACCOUNT_RESTORED</x:v>
      </x:c>
      <x:c r="D7" s="31" t="str">
        <x:v>Existing</x:v>
      </x:c>
      <x:c r="E7" s="31" t="str">
        <x:v>LOW</x:v>
      </x:c>
      <x:c r="F7" s="31" t="str">
        <x:v>Context only</x:v>
      </x:c>
      <x:c r="G7" s="31" t="str">
        <x:v>NO</x:v>
      </x:c>
      <x:c r="H7" s="31" t="str">
        <x:v>—</x:v>
      </x:c>
      <x:c r="I7" s="31" t="str">
        <x:v>Recovery evidence for ordinary accounts.</x:v>
      </x:c>
      <x:c r="J7" s="31" t="str">
        <x:v>No alert.</x:v>
      </x:c>
      <x:c r="K7" s="31" t="str">
        <x:v>user.unsuspend / restore</x:v>
      </x:c>
      <x:c r="L7" s="31" t="str">
        <x:v>HIGH</x:v>
      </x:c>
      <x:c r="M7" s="31" t="str">
        <x:v>Accept</x:v>
      </x:c>
      <x:c r="N7" s="31" t="str"/>
      <x:c r="O7" s="31" t="str"/>
    </x:row>
    <x:row r="8">
      <x:c r="A8" s="31" t="str">
        <x:v>ID-007</x:v>
      </x:c>
      <x:c r="B8" s="31" t="str">
        <x:v>IDENTITY_AND_SERVICE_ACCOUNT_AVAILABILITY</x:v>
      </x:c>
      <x:c r="C8" s="31" t="str">
        <x:v>ORG_OWNER_SUSPENDED</x:v>
      </x:c>
      <x:c r="D8" s="31" t="str">
        <x:v>Add</x:v>
      </x:c>
      <x:c r="E8" s="31" t="str">
        <x:v>CRITICAL</x:v>
      </x:c>
      <x:c r="F8" s="31" t="str">
        <x:v>Main queue</x:v>
      </x:c>
      <x:c r="G8" s="31" t="str">
        <x:v>YES</x:v>
      </x:c>
      <x:c r="H8" s="31" t="str">
        <x:v>Always</x:v>
      </x:c>
      <x:c r="I8" s="31" t="str">
        <x:v>Loss of an organization owner can block urgent administration and may indicate a serious identity issue.</x:v>
      </x:c>
      <x:c r="J8" s="31" t="str">
        <x:v>No wildcard suppression.</x:v>
      </x:c>
      <x:c r="K8" s="31" t="str">
        <x:v>Suspension where affected user currently has owner role</x:v>
      </x:c>
      <x:c r="L8" s="31" t="str">
        <x:v>MEDIUM</x:v>
      </x:c>
      <x:c r="M8" s="31" t="str">
        <x:v>Accept</x:v>
      </x:c>
      <x:c r="N8" s="31" t="str"/>
      <x:c r="O8" s="31" t="str"/>
    </x:row>
    <x:row r="9">
      <x:c r="A9" s="31" t="str">
        <x:v>ID-008</x:v>
      </x:c>
      <x:c r="B9" s="31" t="str">
        <x:v>IDENTITY_AND_SERVICE_ACCOUNT_AVAILABILITY</x:v>
      </x:c>
      <x:c r="C9" s="31" t="str">
        <x:v>ORG_OWNER_ADDED</x:v>
      </x:c>
      <x:c r="D9" s="31" t="str">
        <x:v>Add</x:v>
      </x:c>
      <x:c r="E9" s="31" t="str">
        <x:v>HIGH</x:v>
      </x:c>
      <x:c r="F9" s="31" t="str">
        <x:v>Main queue</x:v>
      </x:c>
      <x:c r="G9" s="31" t="str">
        <x:v>CONDITIONAL</x:v>
      </x:c>
      <x:c r="H9" s="31" t="str">
        <x:v>Alert for external identity, unusual actor, or production organization</x:v>
      </x:c>
      <x:c r="I9" s="31" t="str">
        <x:v>Owner privilege is the highest organization-level administrative access.</x:v>
      </x:c>
      <x:c r="J9" s="31" t="str">
        <x:v>Approved onboarding can be downgraded to MEDIUM with ticket/evidence.</x:v>
      </x:c>
      <x:c r="K9" s="31" t="str">
        <x:v>Organization owner role granted</x:v>
      </x:c>
      <x:c r="L9" s="31" t="str">
        <x:v>MEDIUM</x:v>
      </x:c>
      <x:c r="M9" s="31" t="str">
        <x:v>Accept</x:v>
      </x:c>
      <x:c r="N9" s="31" t="str"/>
      <x:c r="O9" s="31" t="str"/>
    </x:row>
    <x:row r="10">
      <x:c r="A10" s="31" t="str">
        <x:v>ID-009</x:v>
      </x:c>
      <x:c r="B10" s="31" t="str">
        <x:v>IDENTITY_AND_SERVICE_ACCOUNT_AVAILABILITY</x:v>
      </x:c>
      <x:c r="C10" s="31" t="str">
        <x:v>ORG_OWNER_REMOVED</x:v>
      </x:c>
      <x:c r="D10" s="31" t="str">
        <x:v>Add</x:v>
      </x:c>
      <x:c r="E10" s="31" t="str">
        <x:v>HIGH</x:v>
      </x:c>
      <x:c r="F10" s="31" t="str">
        <x:v>Main queue</x:v>
      </x:c>
      <x:c r="G10" s="31" t="str">
        <x:v>CONDITIONAL</x:v>
      </x:c>
      <x:c r="H10" s="31" t="str">
        <x:v>Escalate to CRITICAL if last viable owner or critical break-glass owner</x:v>
      </x:c>
      <x:c r="I10" s="31" t="str">
        <x:v>Owner removal can reduce recovery options and administrative coverage.</x:v>
      </x:c>
      <x:c r="J10" s="31" t="str">
        <x:v>Allow planned offboarding suppression with change reference.</x:v>
      </x:c>
      <x:c r="K10" s="31" t="str">
        <x:v>Organization owner role removed</x:v>
      </x:c>
      <x:c r="L10" s="31" t="str">
        <x:v>MEDIUM</x:v>
      </x:c>
      <x:c r="M10" s="31" t="str">
        <x:v>Accept</x:v>
      </x:c>
      <x:c r="N10" s="31" t="str"/>
      <x:c r="O10" s="31" t="str"/>
    </x:row>
    <x:row r="11">
      <x:c r="A11" s="31" t="str">
        <x:v>ID-010</x:v>
      </x:c>
      <x:c r="B11" s="31" t="str">
        <x:v>IDENTITY_AND_SERVICE_ACCOUNT_AVAILABILITY</x:v>
      </x:c>
      <x:c r="C11" s="31" t="str">
        <x:v>SAML_SSO_DISABLED</x:v>
      </x:c>
      <x:c r="D11" s="31" t="str">
        <x:v>Add</x:v>
      </x:c>
      <x:c r="E11" s="31" t="str">
        <x:v>CRITICAL</x:v>
      </x:c>
      <x:c r="F11" s="31" t="str">
        <x:v>Main queue</x:v>
      </x:c>
      <x:c r="G11" s="31" t="str">
        <x:v>YES</x:v>
      </x:c>
      <x:c r="H11" s="31" t="str">
        <x:v>Always</x:v>
      </x:c>
      <x:c r="I11" s="31" t="str">
        <x:v>Disabling SAML removes a central enterprise identity control.</x:v>
      </x:c>
      <x:c r="J11" s="31" t="str">
        <x:v>No generic suppression.</x:v>
      </x:c>
      <x:c r="K11" s="31" t="str">
        <x:v>Enterprise/org SAML disabled</x:v>
      </x:c>
      <x:c r="L11" s="31" t="str">
        <x:v>MEDIUM</x:v>
      </x:c>
      <x:c r="M11" s="31" t="str">
        <x:v>Accept</x:v>
      </x:c>
      <x:c r="N11" s="31" t="str"/>
      <x:c r="O11" s="31" t="str"/>
    </x:row>
    <x:row r="12">
      <x:c r="A12" s="31" t="str">
        <x:v>ID-011</x:v>
      </x:c>
      <x:c r="B12" s="31" t="str">
        <x:v>IDENTITY_AND_SERVICE_ACCOUNT_AVAILABILITY</x:v>
      </x:c>
      <x:c r="C12" s="31" t="str">
        <x:v>TWO_FACTOR_REQUIREMENT_DISABLED</x:v>
      </x:c>
      <x:c r="D12" s="31" t="str">
        <x:v>Add</x:v>
      </x:c>
      <x:c r="E12" s="31" t="str">
        <x:v>CRITICAL</x:v>
      </x:c>
      <x:c r="F12" s="31" t="str">
        <x:v>Main queue</x:v>
      </x:c>
      <x:c r="G12" s="31" t="str">
        <x:v>YES</x:v>
      </x:c>
      <x:c r="H12" s="31" t="str">
        <x:v>Always</x:v>
      </x:c>
      <x:c r="I12" s="31" t="str">
        <x:v>Disabling mandatory 2FA materially weakens account security across the organization.</x:v>
      </x:c>
      <x:c r="J12" s="31" t="str">
        <x:v>No generic suppression.</x:v>
      </x:c>
      <x:c r="K12" s="31" t="str">
        <x:v>Organization 2FA requirement disabled</x:v>
      </x:c>
      <x:c r="L12" s="31" t="str">
        <x:v>MEDIUM</x:v>
      </x:c>
      <x:c r="M12" s="31" t="str">
        <x:v>Accept</x:v>
      </x:c>
      <x:c r="N12" s="31" t="str"/>
      <x:c r="O12" s="31" t="str"/>
    </x:row>
    <x:row r="13">
      <x:c r="A13" s="31" t="str">
        <x:v>ID-012</x:v>
      </x:c>
      <x:c r="B13" s="31" t="str">
        <x:v>IDENTITY_AND_SERVICE_ACCOUNT_AVAILABILITY</x:v>
      </x:c>
      <x:c r="C13" s="31" t="str">
        <x:v>SCIM_PROVISIONING_DISABLED</x:v>
      </x:c>
      <x:c r="D13" s="31" t="str">
        <x:v>Add</x:v>
      </x:c>
      <x:c r="E13" s="31" t="str">
        <x:v>HIGH</x:v>
      </x:c>
      <x:c r="F13" s="31" t="str">
        <x:v>Main queue</x:v>
      </x:c>
      <x:c r="G13" s="31" t="str">
        <x:v>YES</x:v>
      </x:c>
      <x:c r="H13" s="31" t="str">
        <x:v>Production enterprise or organization</x:v>
      </x:c>
      <x:c r="I13" s="31" t="str">
        <x:v>Disabling SCIM can break joiner/mover/leaver automation and leave stale access.</x:v>
      </x:c>
      <x:c r="J13" s="31" t="str">
        <x:v>Maintenance suppression must be time-bounded.</x:v>
      </x:c>
      <x:c r="K13" s="31" t="str">
        <x:v>SCIM/provisioning disabled</x:v>
      </x:c>
      <x:c r="L13" s="31" t="str">
        <x:v>MEDIUM</x:v>
      </x:c>
      <x:c r="M13" s="31" t="str">
        <x:v>Accept</x:v>
      </x:c>
      <x:c r="N13" s="31" t="str"/>
      <x:c r="O13" s="31" t="str"/>
    </x:row>
    <x:row r="14">
      <x:c r="A14" s="31" t="str">
        <x:v>ID-013</x:v>
      </x:c>
      <x:c r="B14" s="31" t="str">
        <x:v>IDENTITY_AND_SERVICE_ACCOUNT_AVAILABILITY</x:v>
      </x:c>
      <x:c r="C14" s="31" t="str">
        <x:v>IP_ALLOW_LIST_DISABLED</x:v>
      </x:c>
      <x:c r="D14" s="31" t="str">
        <x:v>Add</x:v>
      </x:c>
      <x:c r="E14" s="31" t="str">
        <x:v>HIGH</x:v>
      </x:c>
      <x:c r="F14" s="31" t="str">
        <x:v>Main queue</x:v>
      </x:c>
      <x:c r="G14" s="31" t="str">
        <x:v>YES</x:v>
      </x:c>
      <x:c r="H14" s="31" t="str">
        <x:v>Protected enterprise or organization</x:v>
      </x:c>
      <x:c r="I14" s="31" t="str">
        <x:v>Disabling the allow list expands the network locations from which access is possible.</x:v>
      </x:c>
      <x:c r="J14" s="31" t="str">
        <x:v>Explicit change-window suppression only.</x:v>
      </x:c>
      <x:c r="K14" s="31" t="str">
        <x:v>IP allow list disabled</x:v>
      </x:c>
      <x:c r="L14" s="31" t="str">
        <x:v>MEDIUM</x:v>
      </x:c>
      <x:c r="M14" s="31" t="str">
        <x:v>Accept</x:v>
      </x:c>
      <x:c r="N14" s="31" t="str"/>
      <x:c r="O14" s="31" t="str"/>
    </x:row>
    <x:row r="15">
      <x:c r="A15" s="31" t="str">
        <x:v>ID-014</x:v>
      </x:c>
      <x:c r="B15" s="31" t="str">
        <x:v>IDENTITY_AND_SERVICE_ACCOUNT_AVAILABILITY</x:v>
      </x:c>
      <x:c r="C15" s="31" t="str">
        <x:v>IP_ALLOW_LIST_WEAKENED</x:v>
      </x:c>
      <x:c r="D15" s="31" t="str">
        <x:v>Add</x:v>
      </x:c>
      <x:c r="E15" s="31" t="str">
        <x:v>HIGH</x:v>
      </x:c>
      <x:c r="F15" s="31" t="str">
        <x:v>Main queue</x:v>
      </x:c>
      <x:c r="G15" s="31" t="str">
        <x:v>CONDITIONAL</x:v>
      </x:c>
      <x:c r="H15" s="31" t="str">
        <x:v>Alert when entries are removed, bypass is enabled, or broad CIDR is added</x:v>
      </x:c>
      <x:c r="I15" s="31" t="str">
        <x:v>A weaker allow list increases reachable attack surface.</x:v>
      </x:c>
      <x:c r="J15" s="31" t="str">
        <x:v>Downgrade approved narrow additions to MEDIUM.</x:v>
      </x:c>
      <x:c r="K15" s="31" t="str">
        <x:v>IP allow-list entries or enforcement changed</x:v>
      </x:c>
      <x:c r="L15" s="31" t="str">
        <x:v>LOW</x:v>
      </x:c>
      <x:c r="M15" s="31" t="str">
        <x:v>Discuss</x:v>
      </x:c>
      <x:c r="N15" s="31" t="str"/>
      <x:c r="O15" s="31" t="str"/>
    </x:row>
    <x:row r="16">
      <x:c r="A16" s="31" t="str">
        <x:v>ID-015</x:v>
      </x:c>
      <x:c r="B16" s="31" t="str">
        <x:v>IDENTITY_AND_SERVICE_ACCOUNT_AVAILABILITY</x:v>
      </x:c>
      <x:c r="C16" s="31" t="str">
        <x:v>IDENTITY_GUARDRAIL_ENABLED</x:v>
      </x:c>
      <x:c r="D16" s="31" t="str">
        <x:v>Existing</x:v>
      </x:c>
      <x:c r="E16" s="31" t="str">
        <x:v>LOW</x:v>
      </x:c>
      <x:c r="F16" s="31" t="str">
        <x:v>Context only</x:v>
      </x:c>
      <x:c r="G16" s="31" t="str">
        <x:v>NO</x:v>
      </x:c>
      <x:c r="H16" s="31" t="str">
        <x:v>—</x:v>
      </x:c>
      <x:c r="I16" s="31" t="str">
        <x:v>Positive control-restoration evidence.</x:v>
      </x:c>
      <x:c r="J16" s="31" t="str">
        <x:v>No alert.</x:v>
      </x:c>
      <x:c r="K16" s="31" t="str">
        <x:v>SAML/2FA/identity guardrail enabled</x:v>
      </x:c>
      <x:c r="L16" s="31" t="str">
        <x:v>HIGH</x:v>
      </x:c>
      <x:c r="M16" s="31" t="str">
        <x:v>Accept</x:v>
      </x:c>
      <x:c r="N16" s="31" t="str"/>
      <x:c r="O16" s="31" t="str"/>
    </x:row>
    <x:row r="17">
      <x:c r="A17" s="31" t="str">
        <x:v>AC-001</x:v>
      </x:c>
      <x:c r="B17" s="31" t="str">
        <x:v>ACCESS_GOVERNANCE</x:v>
      </x:c>
      <x:c r="C17" s="31" t="str">
        <x:v>ORG_MEMBER_ADDED</x:v>
      </x:c>
      <x:c r="D17" s="31" t="str">
        <x:v>Existing</x:v>
      </x:c>
      <x:c r="E17" s="31" t="str">
        <x:v>MEDIUM</x:v>
      </x:c>
      <x:c r="F17" s="31" t="str">
        <x:v>Context only</x:v>
      </x:c>
      <x:c r="G17" s="31" t="str">
        <x:v>CONDITIONAL</x:v>
      </x:c>
      <x:c r="H17" s="31" t="str">
        <x:v>Escalate to HIGH for external identity or privileged team</x:v>
      </x:c>
      <x:c r="I17" s="31" t="str">
        <x:v>Membership additions are important access evidence but frequent in normal onboarding.</x:v>
      </x:c>
      <x:c r="J17" s="31" t="str">
        <x:v>Approved HR/SCIM automation can be LOW.</x:v>
      </x:c>
      <x:c r="K17" s="31" t="str">
        <x:v>org.add_member / membership added</x:v>
      </x:c>
      <x:c r="L17" s="31" t="str">
        <x:v>HIGH</x:v>
      </x:c>
      <x:c r="M17" s="31" t="str">
        <x:v>Accept</x:v>
      </x:c>
      <x:c r="N17" s="31" t="str"/>
      <x:c r="O17" s="31" t="str"/>
    </x:row>
    <x:row r="18">
      <x:c r="A18" s="31" t="str">
        <x:v>AC-002</x:v>
      </x:c>
      <x:c r="B18" s="31" t="str">
        <x:v>ACCESS_GOVERNANCE</x:v>
      </x:c>
      <x:c r="C18" s="31" t="str">
        <x:v>ORG_MEMBER_REMOVED</x:v>
      </x:c>
      <x:c r="D18" s="31" t="str">
        <x:v>Existing</x:v>
      </x:c>
      <x:c r="E18" s="31" t="str">
        <x:v>MEDIUM</x:v>
      </x:c>
      <x:c r="F18" s="31" t="str">
        <x:v>Context only</x:v>
      </x:c>
      <x:c r="G18" s="31" t="str">
        <x:v>CONDITIONAL</x:v>
      </x:c>
      <x:c r="H18" s="31" t="str">
        <x:v>Escalate to HIGH for critical service identity, org owner, or active operator</x:v>
      </x:c>
      <x:c r="I18" s="31" t="str">
        <x:v>Removal can interrupt service or represent offboarding.</x:v>
      </x:c>
      <x:c r="J18" s="31" t="str">
        <x:v>Approved SCIM offboarding can be LOW.</x:v>
      </x:c>
      <x:c r="K18" s="31" t="str">
        <x:v>org.remove_member / membership removed</x:v>
      </x:c>
      <x:c r="L18" s="31" t="str">
        <x:v>HIGH</x:v>
      </x:c>
      <x:c r="M18" s="31" t="str">
        <x:v>Accept</x:v>
      </x:c>
      <x:c r="N18" s="31" t="str"/>
      <x:c r="O18" s="31" t="str"/>
    </x:row>
    <x:row r="19">
      <x:c r="A19" s="31" t="str">
        <x:v>AC-003</x:v>
      </x:c>
      <x:c r="B19" s="31" t="str">
        <x:v>ACCESS_GOVERNANCE</x:v>
      </x:c>
      <x:c r="C19" s="31" t="str">
        <x:v>TEAM_MEMBER_ADDED</x:v>
      </x:c>
      <x:c r="D19" s="31" t="str">
        <x:v>Existing</x:v>
      </x:c>
      <x:c r="E19" s="31" t="str">
        <x:v>MEDIUM</x:v>
      </x:c>
      <x:c r="F19" s="31" t="str">
        <x:v>Context only</x:v>
      </x:c>
      <x:c r="G19" s="31" t="str">
        <x:v>CONDITIONAL</x:v>
      </x:c>
      <x:c r="H19" s="31" t="str">
        <x:v>Escalate to HIGH for admin/security/platform team</x:v>
      </x:c>
      <x:c r="I19" s="31" t="str">
        <x:v>Team membership often grants repository permissions indirectly.</x:v>
      </x:c>
      <x:c r="J19" s="31" t="str">
        <x:v>Approved group-sync events can be LOW.</x:v>
      </x:c>
      <x:c r="K19" s="31" t="str">
        <x:v>team.add_member</x:v>
      </x:c>
      <x:c r="L19" s="31" t="str">
        <x:v>HIGH</x:v>
      </x:c>
      <x:c r="M19" s="31" t="str">
        <x:v>Accept</x:v>
      </x:c>
      <x:c r="N19" s="31" t="str"/>
      <x:c r="O19" s="31" t="str"/>
    </x:row>
    <x:row r="20">
      <x:c r="A20" s="31" t="str">
        <x:v>AC-004</x:v>
      </x:c>
      <x:c r="B20" s="31" t="str">
        <x:v>ACCESS_GOVERNANCE</x:v>
      </x:c>
      <x:c r="C20" s="31" t="str">
        <x:v>TEAM_MEMBER_REMOVED</x:v>
      </x:c>
      <x:c r="D20" s="31" t="str">
        <x:v>Existing</x:v>
      </x:c>
      <x:c r="E20" s="31" t="str">
        <x:v>MEDIUM</x:v>
      </x:c>
      <x:c r="F20" s="31" t="str">
        <x:v>Context only</x:v>
      </x:c>
      <x:c r="G20" s="31" t="str">
        <x:v>CONDITIONAL</x:v>
      </x:c>
      <x:c r="H20" s="31" t="str">
        <x:v>Escalate to HIGH for critical service account or platform admin team</x:v>
      </x:c>
      <x:c r="I20" s="31" t="str">
        <x:v>Removal may break operational access.</x:v>
      </x:c>
      <x:c r="J20" s="31" t="str">
        <x:v>Approved group-sync offboarding can be LOW.</x:v>
      </x:c>
      <x:c r="K20" s="31" t="str">
        <x:v>team.remove_member</x:v>
      </x:c>
      <x:c r="L20" s="31" t="str">
        <x:v>HIGH</x:v>
      </x:c>
      <x:c r="M20" s="31" t="str">
        <x:v>Accept</x:v>
      </x:c>
      <x:c r="N20" s="31" t="str"/>
      <x:c r="O20" s="31" t="str"/>
    </x:row>
    <x:row r="21">
      <x:c r="A21" s="31" t="str">
        <x:v>AC-005</x:v>
      </x:c>
      <x:c r="B21" s="31" t="str">
        <x:v>ACCESS_GOVERNANCE</x:v>
      </x:c>
      <x:c r="C21" s="31" t="str">
        <x:v>REPOSITORY_MEMBER_ADDED</x:v>
      </x:c>
      <x:c r="D21" s="31" t="str">
        <x:v>Existing</x:v>
      </x:c>
      <x:c r="E21" s="31" t="str">
        <x:v>MEDIUM</x:v>
      </x:c>
      <x:c r="F21" s="31" t="str">
        <x:v>Context only</x:v>
      </x:c>
      <x:c r="G21" s="31" t="str">
        <x:v>CONDITIONAL</x:v>
      </x:c>
      <x:c r="H21" s="31" t="str">
        <x:v>Escalate to HIGH for admin permission, external identity, or critical repository</x:v>
      </x:c>
      <x:c r="I21" s="31" t="str">
        <x:v>Direct repository grants bypass team-based access patterns.</x:v>
      </x:c>
      <x:c r="J21" s="31" t="str">
        <x:v>Downgrade approved temporary access with expiry.</x:v>
      </x:c>
      <x:c r="K21" s="31" t="str">
        <x:v>repo.add_member</x:v>
      </x:c>
      <x:c r="L21" s="31" t="str">
        <x:v>HIGH</x:v>
      </x:c>
      <x:c r="M21" s="31" t="str">
        <x:v>Accept</x:v>
      </x:c>
      <x:c r="N21" s="31" t="str"/>
      <x:c r="O21" s="31" t="str"/>
    </x:row>
    <x:row r="22">
      <x:c r="A22" s="31" t="str">
        <x:v>AC-006</x:v>
      </x:c>
      <x:c r="B22" s="31" t="str">
        <x:v>ACCESS_GOVERNANCE</x:v>
      </x:c>
      <x:c r="C22" s="31" t="str">
        <x:v>REPOSITORY_MEMBER_REMOVED</x:v>
      </x:c>
      <x:c r="D22" s="31" t="str">
        <x:v>Existing</x:v>
      </x:c>
      <x:c r="E22" s="31" t="str">
        <x:v>MEDIUM</x:v>
      </x:c>
      <x:c r="F22" s="31" t="str">
        <x:v>Context only</x:v>
      </x:c>
      <x:c r="G22" s="31" t="str">
        <x:v>CONDITIONAL</x:v>
      </x:c>
      <x:c r="H22" s="31" t="str">
        <x:v>Escalate to HIGH for service identity or production operator</x:v>
      </x:c>
      <x:c r="I22" s="31" t="str">
        <x:v>Removal can interrupt deployment or support access.</x:v>
      </x:c>
      <x:c r="J22" s="31" t="str">
        <x:v>Approved offboarding can be LOW.</x:v>
      </x:c>
      <x:c r="K22" s="31" t="str">
        <x:v>repo.remove_member</x:v>
      </x:c>
      <x:c r="L22" s="31" t="str">
        <x:v>HIGH</x:v>
      </x:c>
      <x:c r="M22" s="31" t="str">
        <x:v>Accept</x:v>
      </x:c>
      <x:c r="N22" s="31" t="str"/>
      <x:c r="O22" s="31" t="str"/>
    </x:row>
    <x:row r="23">
      <x:c r="A23" s="31" t="str">
        <x:v>AC-007</x:v>
      </x:c>
      <x:c r="B23" s="31" t="str">
        <x:v>ACCESS_GOVERNANCE</x:v>
      </x:c>
      <x:c r="C23" s="31" t="str">
        <x:v>REPOSITORY_TEAM_ADDED</x:v>
      </x:c>
      <x:c r="D23" s="31" t="str">
        <x:v>Existing</x:v>
      </x:c>
      <x:c r="E23" s="31" t="str">
        <x:v>MEDIUM</x:v>
      </x:c>
      <x:c r="F23" s="31" t="str">
        <x:v>Context only</x:v>
      </x:c>
      <x:c r="G23" s="31" t="str">
        <x:v>CONDITIONAL</x:v>
      </x:c>
      <x:c r="H23" s="31" t="str">
        <x:v>Escalate to HIGH when permission is maintain/admin or repository is critical</x:v>
      </x:c>
      <x:c r="I23" s="31" t="str">
        <x:v>Adds a broad group of users to a repository.</x:v>
      </x:c>
      <x:c r="J23" s="31" t="str">
        <x:v>Approved onboarding can be LOW.</x:v>
      </x:c>
      <x:c r="K23" s="31" t="str">
        <x:v>repo.add_team</x:v>
      </x:c>
      <x:c r="L23" s="31" t="str">
        <x:v>HIGH</x:v>
      </x:c>
      <x:c r="M23" s="31" t="str">
        <x:v>Accept</x:v>
      </x:c>
      <x:c r="N23" s="31" t="str"/>
      <x:c r="O23" s="31" t="str"/>
    </x:row>
    <x:row r="24">
      <x:c r="A24" s="31" t="str">
        <x:v>AC-008</x:v>
      </x:c>
      <x:c r="B24" s="31" t="str">
        <x:v>ACCESS_GOVERNANCE</x:v>
      </x:c>
      <x:c r="C24" s="31" t="str">
        <x:v>REPOSITORY_TEAM_REMOVED</x:v>
      </x:c>
      <x:c r="D24" s="31" t="str">
        <x:v>Existing</x:v>
      </x:c>
      <x:c r="E24" s="31" t="str">
        <x:v>MEDIUM</x:v>
      </x:c>
      <x:c r="F24" s="31" t="str">
        <x:v>Context only</x:v>
      </x:c>
      <x:c r="G24" s="31" t="str">
        <x:v>CONDITIONAL</x:v>
      </x:c>
      <x:c r="H24" s="31" t="str">
        <x:v>Escalate to HIGH for platform or production team</x:v>
      </x:c>
      <x:c r="I24" s="31" t="str">
        <x:v>Can remove required operational access from many users at once.</x:v>
      </x:c>
      <x:c r="J24" s="31" t="str">
        <x:v>Approved decommission can be LOW.</x:v>
      </x:c>
      <x:c r="K24" s="31" t="str">
        <x:v>repo.remove_team</x:v>
      </x:c>
      <x:c r="L24" s="31" t="str">
        <x:v>HIGH</x:v>
      </x:c>
      <x:c r="M24" s="31" t="str">
        <x:v>Accept</x:v>
      </x:c>
      <x:c r="N24" s="31" t="str"/>
      <x:c r="O24" s="31" t="str"/>
    </x:row>
    <x:row r="25">
      <x:c r="A25" s="31" t="str">
        <x:v>AC-009</x:v>
      </x:c>
      <x:c r="B25" s="31" t="str">
        <x:v>ACCESS_GOVERNANCE</x:v>
      </x:c>
      <x:c r="C25" s="31" t="str">
        <x:v>REPOSITORY_PERMISSION_ELEVATED</x:v>
      </x:c>
      <x:c r="D25" s="31" t="str">
        <x:v>Add</x:v>
      </x:c>
      <x:c r="E25" s="31" t="str">
        <x:v>HIGH</x:v>
      </x:c>
      <x:c r="F25" s="31" t="str">
        <x:v>Main queue</x:v>
      </x:c>
      <x:c r="G25" s="31" t="str">
        <x:v>YES</x:v>
      </x:c>
      <x:c r="H25" s="31" t="str">
        <x:v>Admin or maintain access; external identity; critical repository</x:v>
      </x:c>
      <x:c r="I25" s="31" t="str">
        <x:v>Privilege elevation is a material access-control change.</x:v>
      </x:c>
      <x:c r="J25" s="31" t="str">
        <x:v>Approved role change can be downgraded to MEDIUM with evidence.</x:v>
      </x:c>
      <x:c r="K25" s="31" t="str">
        <x:v>Repository collaborator/team permission increased</x:v>
      </x:c>
      <x:c r="L25" s="31" t="str">
        <x:v>MEDIUM</x:v>
      </x:c>
      <x:c r="M25" s="31" t="str">
        <x:v>Accept</x:v>
      </x:c>
      <x:c r="N25" s="31" t="str"/>
      <x:c r="O25" s="31" t="str"/>
    </x:row>
    <x:row r="26">
      <x:c r="A26" s="31" t="str">
        <x:v>AC-010</x:v>
      </x:c>
      <x:c r="B26" s="31" t="str">
        <x:v>ACCESS_GOVERNANCE</x:v>
      </x:c>
      <x:c r="C26" s="31" t="str">
        <x:v>REPOSITORY_PERMISSION_REDUCED</x:v>
      </x:c>
      <x:c r="D26" s="31" t="str">
        <x:v>Add</x:v>
      </x:c>
      <x:c r="E26" s="31" t="str">
        <x:v>MEDIUM</x:v>
      </x:c>
      <x:c r="F26" s="31" t="str">
        <x:v>Context only</x:v>
      </x:c>
      <x:c r="G26" s="31" t="str">
        <x:v>CONDITIONAL</x:v>
      </x:c>
      <x:c r="H26" s="31" t="str">
        <x:v>Escalate to HIGH when it removes production or break-glass access</x:v>
      </x:c>
      <x:c r="I26" s="31" t="str">
        <x:v>Usually a normal least-privilege change, but can affect availability.</x:v>
      </x:c>
      <x:c r="J26" s="31" t="str">
        <x:v>Approved offboarding can be LOW.</x:v>
      </x:c>
      <x:c r="K26" s="31" t="str">
        <x:v>Repository collaborator/team permission decreased</x:v>
      </x:c>
      <x:c r="L26" s="31" t="str">
        <x:v>MEDIUM</x:v>
      </x:c>
      <x:c r="M26" s="31" t="str">
        <x:v>Accept</x:v>
      </x:c>
      <x:c r="N26" s="31" t="str"/>
      <x:c r="O26" s="31" t="str"/>
    </x:row>
    <x:row r="27">
      <x:c r="A27" s="31" t="str">
        <x:v>AC-011</x:v>
      </x:c>
      <x:c r="B27" s="31" t="str">
        <x:v>ACCESS_GOVERNANCE</x:v>
      </x:c>
      <x:c r="C27" s="31" t="str">
        <x:v>OUTSIDE_COLLABORATOR_ADDED</x:v>
      </x:c>
      <x:c r="D27" s="31" t="str">
        <x:v>Add</x:v>
      </x:c>
      <x:c r="E27" s="31" t="str">
        <x:v>HIGH</x:v>
      </x:c>
      <x:c r="F27" s="31" t="str">
        <x:v>Main queue</x:v>
      </x:c>
      <x:c r="G27" s="31" t="str">
        <x:v>YES</x:v>
      </x:c>
      <x:c r="H27" s="31" t="str">
        <x:v>Any production or sensitive organization</x:v>
      </x:c>
      <x:c r="I27" s="31" t="str">
        <x:v>External access deserves explicit review because it crosses the managed workforce boundary.</x:v>
      </x:c>
      <x:c r="J27" s="31" t="str">
        <x:v>Require owner, expiry, and business justification.</x:v>
      </x:c>
      <x:c r="K27" s="31" t="str">
        <x:v>Outside collaborator added</x:v>
      </x:c>
      <x:c r="L27" s="31" t="str">
        <x:v>MEDIUM</x:v>
      </x:c>
      <x:c r="M27" s="31" t="str">
        <x:v>Accept</x:v>
      </x:c>
      <x:c r="N27" s="31" t="str"/>
      <x:c r="O27" s="31" t="str"/>
    </x:row>
    <x:row r="28">
      <x:c r="A28" s="31" t="str">
        <x:v>AC-012</x:v>
      </x:c>
      <x:c r="B28" s="31" t="str">
        <x:v>ACCESS_GOVERNANCE</x:v>
      </x:c>
      <x:c r="C28" s="31" t="str">
        <x:v>OUTSIDE_COLLABORATOR_REMOVED</x:v>
      </x:c>
      <x:c r="D28" s="31" t="str">
        <x:v>Add</x:v>
      </x:c>
      <x:c r="E28" s="31" t="str">
        <x:v>LOW</x:v>
      </x:c>
      <x:c r="F28" s="31" t="str">
        <x:v>Context only</x:v>
      </x:c>
      <x:c r="G28" s="31" t="str">
        <x:v>NO</x:v>
      </x:c>
      <x:c r="H28" s="31" t="str">
        <x:v>—</x:v>
      </x:c>
      <x:c r="I28" s="31" t="str">
        <x:v>Generally a positive access-removal event.</x:v>
      </x:c>
      <x:c r="J28" s="31" t="str">
        <x:v>No alert.</x:v>
      </x:c>
      <x:c r="K28" s="31" t="str">
        <x:v>Outside collaborator removed</x:v>
      </x:c>
      <x:c r="L28" s="31" t="str">
        <x:v>MEDIUM</x:v>
      </x:c>
      <x:c r="M28" s="31" t="str">
        <x:v>Accept</x:v>
      </x:c>
      <x:c r="N28" s="31" t="str"/>
      <x:c r="O28" s="31" t="str"/>
    </x:row>
    <x:row r="29">
      <x:c r="A29" s="31" t="str">
        <x:v>AC-013</x:v>
      </x:c>
      <x:c r="B29" s="31" t="str">
        <x:v>ACCESS_GOVERNANCE</x:v>
      </x:c>
      <x:c r="C29" s="31" t="str">
        <x:v>RUNNER_GROUP_ORG_ACCESS_REMOVED</x:v>
      </x:c>
      <x:c r="D29" s="31" t="str">
        <x:v>Add</x:v>
      </x:c>
      <x:c r="E29" s="31" t="str">
        <x:v>HIGH</x:v>
      </x:c>
      <x:c r="F29" s="31" t="str">
        <x:v>Main queue</x:v>
      </x:c>
      <x:c r="G29" s="31" t="str">
        <x:v>YES</x:v>
      </x:c>
      <x:c r="H29" s="31" t="str">
        <x:v>Escalate to CRITICAL when all production org access is removed</x:v>
      </x:c>
      <x:c r="I29" s="31" t="str">
        <x:v>Can stop repositories from seeing or using shared runner capacity.</x:v>
      </x:c>
      <x:c r="J29" s="31" t="str">
        <x:v>Suppress only for approved migration/decommission.</x:v>
      </x:c>
      <x:c r="K29" s="31" t="str">
        <x:v>Runner group selected-organization access removed</x:v>
      </x:c>
      <x:c r="L29" s="31" t="str">
        <x:v>MEDIUM</x:v>
      </x:c>
      <x:c r="M29" s="31" t="str">
        <x:v>Accept</x:v>
      </x:c>
      <x:c r="N29" s="31" t="str"/>
      <x:c r="O29" s="31" t="str"/>
    </x:row>
    <x:row r="30">
      <x:c r="A30" s="31" t="str">
        <x:v>AC-014</x:v>
      </x:c>
      <x:c r="B30" s="31" t="str">
        <x:v>ACCESS_GOVERNANCE</x:v>
      </x:c>
      <x:c r="C30" s="31" t="str">
        <x:v>RUNNER_GROUP_ORG_ACCESS_ADDED</x:v>
      </x:c>
      <x:c r="D30" s="31" t="str">
        <x:v>Add</x:v>
      </x:c>
      <x:c r="E30" s="31" t="str">
        <x:v>MEDIUM</x:v>
      </x:c>
      <x:c r="F30" s="31" t="str">
        <x:v>Context only</x:v>
      </x:c>
      <x:c r="G30" s="31" t="str">
        <x:v>CONDITIONAL</x:v>
      </x:c>
      <x:c r="H30" s="31" t="str">
        <x:v>Escalate to HIGH when access expands to a broad or restricted organization</x:v>
      </x:c>
      <x:c r="I30" s="31" t="str">
        <x:v>Changes the blast radius and consumers of shared runners.</x:v>
      </x:c>
      <x:c r="J30" s="31" t="str">
        <x:v>Approved onboarding can be LOW.</x:v>
      </x:c>
      <x:c r="K30" s="31" t="str">
        <x:v>Runner group selected-organization access added</x:v>
      </x:c>
      <x:c r="L30" s="31" t="str">
        <x:v>MEDIUM</x:v>
      </x:c>
      <x:c r="M30" s="31" t="str">
        <x:v>Accept</x:v>
      </x:c>
      <x:c r="N30" s="31" t="str"/>
      <x:c r="O30" s="31" t="str"/>
    </x:row>
    <x:row r="31">
      <x:c r="A31" s="31" t="str">
        <x:v>AC-015</x:v>
      </x:c>
      <x:c r="B31" s="31" t="str">
        <x:v>ACCESS_GOVERNANCE</x:v>
      </x:c>
      <x:c r="C31" s="31" t="str">
        <x:v>RUNNER_GROUP_VISIBILITY_EXPANDED</x:v>
      </x:c>
      <x:c r="D31" s="31" t="str">
        <x:v>Add</x:v>
      </x:c>
      <x:c r="E31" s="31" t="str">
        <x:v>HIGH</x:v>
      </x:c>
      <x:c r="F31" s="31" t="str">
        <x:v>Main queue</x:v>
      </x:c>
      <x:c r="G31" s="31" t="str">
        <x:v>YES</x:v>
      </x:c>
      <x:c r="H31" s="31" t="str">
        <x:v>Visibility changed from selected to all organizations/repositories</x:v>
      </x:c>
      <x:c r="I31" s="31" t="str">
        <x:v>Broadens who can schedule jobs onto runner infrastructure.</x:v>
      </x:c>
      <x:c r="J31" s="31" t="str">
        <x:v>No wildcard suppression.</x:v>
      </x:c>
      <x:c r="K31" s="31" t="str">
        <x:v>Runner group visibility/access policy broadened</x:v>
      </x:c>
      <x:c r="L31" s="31" t="str">
        <x:v>LOW</x:v>
      </x:c>
      <x:c r="M31" s="31" t="str">
        <x:v>Accept</x:v>
      </x:c>
      <x:c r="N31" s="31" t="str"/>
      <x:c r="O31" s="31" t="str"/>
    </x:row>
    <x:row r="32">
      <x:c r="A32" s="31" t="str">
        <x:v>OA-001</x:v>
      </x:c>
      <x:c r="B32" s="31" t="str">
        <x:v>OAUTH_ACCESS_GOVERNANCE</x:v>
      </x:c>
      <x:c r="C32" s="31" t="str">
        <x:v>OAUTH_APPLICATION_CREATED</x:v>
      </x:c>
      <x:c r="D32" s="31" t="str">
        <x:v>Existing</x:v>
      </x:c>
      <x:c r="E32" s="31" t="str">
        <x:v>MEDIUM</x:v>
      </x:c>
      <x:c r="F32" s="31" t="str">
        <x:v>Context only</x:v>
      </x:c>
      <x:c r="G32" s="31" t="str">
        <x:v>CONDITIONAL</x:v>
      </x:c>
      <x:c r="H32" s="31" t="str">
        <x:v>Escalate to HIGH for admin scopes, broad organization access, or external owner</x:v>
      </x:c>
      <x:c r="I32" s="31" t="str">
        <x:v>New applications introduce a new trust relationship.</x:v>
      </x:c>
      <x:c r="J32" s="31" t="str">
        <x:v>Approved app onboarding can be MEDIUM without alert.</x:v>
      </x:c>
      <x:c r="K32" s="31" t="str">
        <x:v>OAuth application created</x:v>
      </x:c>
      <x:c r="L32" s="31" t="str">
        <x:v>MEDIUM</x:v>
      </x:c>
      <x:c r="M32" s="31" t="str">
        <x:v>Discuss</x:v>
      </x:c>
      <x:c r="N32" s="31" t="str"/>
      <x:c r="O32" s="31" t="str"/>
    </x:row>
    <x:row r="33">
      <x:c r="A33" s="31" t="str">
        <x:v>OA-002</x:v>
      </x:c>
      <x:c r="B33" s="31" t="str">
        <x:v>OAUTH_ACCESS_GOVERNANCE</x:v>
      </x:c>
      <x:c r="C33" s="31" t="str">
        <x:v>OAUTH_CREDENTIAL_REGENERATED</x:v>
      </x:c>
      <x:c r="D33" s="31" t="str">
        <x:v>Existing</x:v>
      </x:c>
      <x:c r="E33" s="31" t="str">
        <x:v>HIGH</x:v>
      </x:c>
      <x:c r="F33" s="31" t="str">
        <x:v>Main queue</x:v>
      </x:c>
      <x:c r="G33" s="31" t="str">
        <x:v>CONDITIONAL</x:v>
      </x:c>
      <x:c r="H33" s="31" t="str">
        <x:v>Alert when unexpected or for production integration</x:v>
      </x:c>
      <x:c r="I33" s="31" t="str">
        <x:v>Credential rotation can be planned, but an unexpected regeneration can break integrations or indicate compromise response.</x:v>
      </x:c>
      <x:c r="J33" s="31" t="str">
        <x:v>Downgrade approved rotation with change reference.</x:v>
      </x:c>
      <x:c r="K33" s="31" t="str">
        <x:v>OAuth secret/client credential regenerated</x:v>
      </x:c>
      <x:c r="L33" s="31" t="str">
        <x:v>HIGH</x:v>
      </x:c>
      <x:c r="M33" s="31" t="str">
        <x:v>Accept</x:v>
      </x:c>
      <x:c r="N33" s="31" t="str"/>
      <x:c r="O33" s="31" t="str"/>
    </x:row>
    <x:row r="34">
      <x:c r="A34" s="31" t="str">
        <x:v>OA-003</x:v>
      </x:c>
      <x:c r="B34" s="31" t="str">
        <x:v>OAUTH_ACCESS_GOVERNANCE</x:v>
      </x:c>
      <x:c r="C34" s="31" t="str">
        <x:v>OAUTH_APPLICATION_DESTROYED</x:v>
      </x:c>
      <x:c r="D34" s="31" t="str">
        <x:v>Existing</x:v>
      </x:c>
      <x:c r="E34" s="31" t="str">
        <x:v>HIGH</x:v>
      </x:c>
      <x:c r="F34" s="31" t="str">
        <x:v>Main queue</x:v>
      </x:c>
      <x:c r="G34" s="31" t="str">
        <x:v>YES</x:v>
      </x:c>
      <x:c r="H34" s="31" t="str">
        <x:v>Production or approved integration</x:v>
      </x:c>
      <x:c r="I34" s="31" t="str">
        <x:v>Removal revokes a trust relationship and can immediately break a service.</x:v>
      </x:c>
      <x:c r="J34" s="31" t="str">
        <x:v>Suppress only for approved decommission.</x:v>
      </x:c>
      <x:c r="K34" s="31" t="str">
        <x:v>OAuth application deleted/destroyed</x:v>
      </x:c>
      <x:c r="L34" s="31" t="str">
        <x:v>HIGH</x:v>
      </x:c>
      <x:c r="M34" s="31" t="str">
        <x:v>Accept</x:v>
      </x:c>
      <x:c r="N34" s="31" t="str"/>
      <x:c r="O34" s="31" t="str"/>
    </x:row>
    <x:row r="35">
      <x:c r="A35" s="31" t="str">
        <x:v>OA-004</x:v>
      </x:c>
      <x:c r="B35" s="31" t="str">
        <x:v>OAUTH_ACCESS_GOVERNANCE</x:v>
      </x:c>
      <x:c r="C35" s="31" t="str">
        <x:v>OAUTH_APPLICATION_AUTHORIZED</x:v>
      </x:c>
      <x:c r="D35" s="31" t="str">
        <x:v>Add</x:v>
      </x:c>
      <x:c r="E35" s="31" t="str">
        <x:v>MEDIUM</x:v>
      </x:c>
      <x:c r="F35" s="31" t="str">
        <x:v>Context only</x:v>
      </x:c>
      <x:c r="G35" s="31" t="str">
        <x:v>CONDITIONAL</x:v>
      </x:c>
      <x:c r="H35" s="31" t="str">
        <x:v>Escalate to HIGH for admin, repo write, org write, or user-management scopes</x:v>
      </x:c>
      <x:c r="I35" s="31" t="str">
        <x:v>Authorization grants an application real access to enterprise data and operations.</x:v>
      </x:c>
      <x:c r="J35" s="31" t="str">
        <x:v>Require application ownership and scope review.</x:v>
      </x:c>
      <x:c r="K35" s="31" t="str">
        <x:v>OAuth authorization granted</x:v>
      </x:c>
      <x:c r="L35" s="31" t="str">
        <x:v>MEDIUM</x:v>
      </x:c>
      <x:c r="M35" s="31" t="str">
        <x:v>Discuss</x:v>
      </x:c>
      <x:c r="N35" s="31" t="str"/>
      <x:c r="O35" s="31" t="str"/>
    </x:row>
    <x:row r="36">
      <x:c r="A36" s="31" t="str">
        <x:v>OA-005</x:v>
      </x:c>
      <x:c r="B36" s="31" t="str">
        <x:v>OAUTH_ACCESS_GOVERNANCE</x:v>
      </x:c>
      <x:c r="C36" s="31" t="str">
        <x:v>OAUTH_APPLICATION_PERMISSION_EXPANDED</x:v>
      </x:c>
      <x:c r="D36" s="31" t="str">
        <x:v>Add</x:v>
      </x:c>
      <x:c r="E36" s="31" t="str">
        <x:v>HIGH</x:v>
      </x:c>
      <x:c r="F36" s="31" t="str">
        <x:v>Main queue</x:v>
      </x:c>
      <x:c r="G36" s="31" t="str">
        <x:v>YES</x:v>
      </x:c>
      <x:c r="H36" s="31" t="str">
        <x:v>Scope or organization access increases</x:v>
      </x:c>
      <x:c r="I36" s="31" t="str">
        <x:v>Expanded application permissions are a direct privilege escalation.</x:v>
      </x:c>
      <x:c r="J36" s="31" t="str">
        <x:v>No generic suppression.</x:v>
      </x:c>
      <x:c r="K36" s="31" t="str">
        <x:v>OAuth scopes or organization access expanded</x:v>
      </x:c>
      <x:c r="L36" s="31" t="str">
        <x:v>LOW</x:v>
      </x:c>
      <x:c r="M36" s="31" t="str">
        <x:v>Accept</x:v>
      </x:c>
      <x:c r="N36" s="31" t="str"/>
      <x:c r="O36" s="31" t="str"/>
    </x:row>
    <x:row r="37">
      <x:c r="A37" s="31" t="str">
        <x:v>OA-006</x:v>
      </x:c>
      <x:c r="B37" s="31" t="str">
        <x:v>OAUTH_ACCESS_GOVERNANCE</x:v>
      </x:c>
      <x:c r="C37" s="31" t="str">
        <x:v>GITHUB_APP_INSTALLATION_SUSPENDED</x:v>
      </x:c>
      <x:c r="D37" s="31" t="str">
        <x:v>Add</x:v>
      </x:c>
      <x:c r="E37" s="31" t="str">
        <x:v>HIGH</x:v>
      </x:c>
      <x:c r="F37" s="31" t="str">
        <x:v>Main queue</x:v>
      </x:c>
      <x:c r="G37" s="31" t="str">
        <x:v>YES</x:v>
      </x:c>
      <x:c r="H37" s="31" t="str">
        <x:v>Escalate to CRITICAL for runner, audit, deployment, or security app</x:v>
      </x:c>
      <x:c r="I37" s="31" t="str">
        <x:v>Suspension disables the app's access and can stop critical automation.</x:v>
      </x:c>
      <x:c r="J37" s="31" t="str">
        <x:v>No wildcard suppression for critical apps.</x:v>
      </x:c>
      <x:c r="K37" s="31" t="str">
        <x:v>GitHub App installation suspended</x:v>
      </x:c>
      <x:c r="L37" s="31" t="str">
        <x:v>MEDIUM</x:v>
      </x:c>
      <x:c r="M37" s="31" t="str">
        <x:v>Accept</x:v>
      </x:c>
      <x:c r="N37" s="31" t="str"/>
      <x:c r="O37" s="31" t="str"/>
    </x:row>
    <x:row r="38">
      <x:c r="A38" s="31" t="str">
        <x:v>OA-007</x:v>
      </x:c>
      <x:c r="B38" s="31" t="str">
        <x:v>OAUTH_ACCESS_GOVERNANCE</x:v>
      </x:c>
      <x:c r="C38" s="31" t="str">
        <x:v>GITHUB_APP_INSTALLATION_DELETED</x:v>
      </x:c>
      <x:c r="D38" s="31" t="str">
        <x:v>Add</x:v>
      </x:c>
      <x:c r="E38" s="31" t="str">
        <x:v>HIGH</x:v>
      </x:c>
      <x:c r="F38" s="31" t="str">
        <x:v>Main queue</x:v>
      </x:c>
      <x:c r="G38" s="31" t="str">
        <x:v>YES</x:v>
      </x:c>
      <x:c r="H38" s="31" t="str">
        <x:v>Escalate to CRITICAL for critical platform app</x:v>
      </x:c>
      <x:c r="I38" s="31" t="str">
        <x:v>Deletion removes application access and may require reinstall/configuration recovery.</x:v>
      </x:c>
      <x:c r="J38" s="31" t="str">
        <x:v>Suppress only for approved decommission.</x:v>
      </x:c>
      <x:c r="K38" s="31" t="str">
        <x:v>GitHub App installation removed/deleted</x:v>
      </x:c>
      <x:c r="L38" s="31" t="str">
        <x:v>MEDIUM</x:v>
      </x:c>
      <x:c r="M38" s="31" t="str">
        <x:v>Accept</x:v>
      </x:c>
      <x:c r="N38" s="31" t="str"/>
      <x:c r="O38" s="31" t="str"/>
    </x:row>
    <x:row r="39">
      <x:c r="A39" s="31" t="str">
        <x:v>OA-008</x:v>
      </x:c>
      <x:c r="B39" s="31" t="str">
        <x:v>OAUTH_ACCESS_GOVERNANCE</x:v>
      </x:c>
      <x:c r="C39" s="31" t="str">
        <x:v>GITHUB_APP_PERMISSION_CHANGED</x:v>
      </x:c>
      <x:c r="D39" s="31" t="str">
        <x:v>Add</x:v>
      </x:c>
      <x:c r="E39" s="31" t="str">
        <x:v>HIGH</x:v>
      </x:c>
      <x:c r="F39" s="31" t="str">
        <x:v>Main queue</x:v>
      </x:c>
      <x:c r="G39" s="31" t="str">
        <x:v>YES</x:v>
      </x:c>
      <x:c r="H39" s="31" t="str">
        <x:v>Permissions expanded or critical permission removed</x:v>
      </x:c>
      <x:c r="I39" s="31" t="str">
        <x:v>Permission changes can either broaden risk or break required automation.</x:v>
      </x:c>
      <x:c r="J39" s="31" t="str">
        <x:v>Approved app upgrades can be downgraded with evidence.</x:v>
      </x:c>
      <x:c r="K39" s="31" t="str">
        <x:v>GitHub App permission changes accepted/configured</x:v>
      </x:c>
      <x:c r="L39" s="31" t="str">
        <x:v>MEDIUM</x:v>
      </x:c>
      <x:c r="M39" s="31" t="str">
        <x:v>Accept</x:v>
      </x:c>
      <x:c r="N39" s="31" t="str"/>
      <x:c r="O39" s="31" t="str"/>
    </x:row>
    <x:row r="40">
      <x:c r="A40" s="31" t="str">
        <x:v>OA-009</x:v>
      </x:c>
      <x:c r="B40" s="31" t="str">
        <x:v>OAUTH_ACCESS_GOVERNANCE</x:v>
      </x:c>
      <x:c r="C40" s="31" t="str">
        <x:v>GITHUB_APP_CREDENTIAL_REVOKED</x:v>
      </x:c>
      <x:c r="D40" s="31" t="str">
        <x:v>Add</x:v>
      </x:c>
      <x:c r="E40" s="31" t="str">
        <x:v>HIGH</x:v>
      </x:c>
      <x:c r="F40" s="31" t="str">
        <x:v>Main queue</x:v>
      </x:c>
      <x:c r="G40" s="31" t="str">
        <x:v>YES</x:v>
      </x:c>
      <x:c r="H40" s="31" t="str">
        <x:v>Escalate to CRITICAL for critical app without replacement credential</x:v>
      </x:c>
      <x:c r="I40" s="31" t="str">
        <x:v>Credential revocation can immediately stop authentication.</x:v>
      </x:c>
      <x:c r="J40" s="31" t="str">
        <x:v>Allow rotation suppression only when replacement is confirmed.</x:v>
      </x:c>
      <x:c r="K40" s="31" t="str">
        <x:v>GitHub App private key or credential revoked</x:v>
      </x:c>
      <x:c r="L40" s="31" t="str">
        <x:v>LOW</x:v>
      </x:c>
      <x:c r="M40" s="31" t="str">
        <x:v>Accept</x:v>
      </x:c>
      <x:c r="N40" s="31" t="str"/>
      <x:c r="O40" s="31" t="str"/>
    </x:row>
    <x:row r="41">
      <x:c r="A41" s="31" t="str">
        <x:v>BM-001</x:v>
      </x:c>
      <x:c r="B41" s="31" t="str">
        <x:v>BRANCH_AND_MERGE_CONTROLS</x:v>
      </x:c>
      <x:c r="C41" s="31" t="str">
        <x:v>PROTECTED_BRANCH_POLICY_OVERRIDE</x:v>
      </x:c>
      <x:c r="D41" s="31" t="str">
        <x:v>Existing</x:v>
      </x:c>
      <x:c r="E41" s="31" t="str">
        <x:v>HIGH</x:v>
      </x:c>
      <x:c r="F41" s="31" t="str">
        <x:v>Main queue</x:v>
      </x:c>
      <x:c r="G41" s="31" t="str">
        <x:v>YES</x:v>
      </x:c>
      <x:c r="H41" s="31" t="str">
        <x:v>Critical repository, repeated override, or direct production branch</x:v>
      </x:c>
      <x:c r="I41" s="31" t="str">
        <x:v>An override bypasses a designed control and deserves explicit accountability.</x:v>
      </x:c>
      <x:c r="J41" s="31" t="str">
        <x:v>No generic actor suppression; approved emergency change only.</x:v>
      </x:c>
      <x:c r="K41" s="31" t="str">
        <x:v>protected_branch.policy_override</x:v>
      </x:c>
      <x:c r="L41" s="31" t="str">
        <x:v>HIGH</x:v>
      </x:c>
      <x:c r="M41" s="31" t="str">
        <x:v>Accept</x:v>
      </x:c>
      <x:c r="N41" s="31" t="str"/>
      <x:c r="O41" s="31" t="str"/>
    </x:row>
    <x:row r="42">
      <x:c r="A42" s="31" t="str">
        <x:v>BM-002</x:v>
      </x:c>
      <x:c r="B42" s="31" t="str">
        <x:v>BRANCH_AND_MERGE_CONTROLS</x:v>
      </x:c>
      <x:c r="C42" s="31" t="str">
        <x:v>PROTECTED_BRANCH_REMOVED</x:v>
      </x:c>
      <x:c r="D42" s="31" t="str">
        <x:v>Add</x:v>
      </x:c>
      <x:c r="E42" s="31" t="str">
        <x:v>HIGH</x:v>
      </x:c>
      <x:c r="F42" s="31" t="str">
        <x:v>Main queue</x:v>
      </x:c>
      <x:c r="G42" s="31" t="str">
        <x:v>YES</x:v>
      </x:c>
      <x:c r="H42" s="31" t="str">
        <x:v>Escalate to CRITICAL for default branch of critical repository</x:v>
      </x:c>
      <x:c r="I42" s="31" t="str">
        <x:v>Removing protection permits direct or weakly governed changes.</x:v>
      </x:c>
      <x:c r="J42" s="31" t="str">
        <x:v>No wildcard suppression.</x:v>
      </x:c>
      <x:c r="K42" s="31" t="str">
        <x:v>Protected branch/ruleset removed</x:v>
      </x:c>
      <x:c r="L42" s="31" t="str">
        <x:v>MEDIUM</x:v>
      </x:c>
      <x:c r="M42" s="31" t="str">
        <x:v>Accept</x:v>
      </x:c>
      <x:c r="N42" s="31" t="str"/>
      <x:c r="O42" s="31" t="str"/>
    </x:row>
    <x:row r="43">
      <x:c r="A43" s="31" t="str">
        <x:v>BM-003</x:v>
      </x:c>
      <x:c r="B43" s="31" t="str">
        <x:v>BRANCH_AND_MERGE_CONTROLS</x:v>
      </x:c>
      <x:c r="C43" s="31" t="str">
        <x:v>PROTECTED_BRANCH_CHANGE</x:v>
      </x:c>
      <x:c r="D43" s="31" t="str">
        <x:v>Existing / Split recommended</x:v>
      </x:c>
      <x:c r="E43" s="31" t="str">
        <x:v>MEDIUM</x:v>
      </x:c>
      <x:c r="F43" s="31" t="str">
        <x:v>Context only</x:v>
      </x:c>
      <x:c r="G43" s="31" t="str">
        <x:v>CONDITIONAL</x:v>
      </x:c>
      <x:c r="H43" s="31" t="str">
        <x:v>Escalate when a control is weakened</x:v>
      </x:c>
      <x:c r="I43" s="31" t="str">
        <x:v>Generic changes are meaningful but need direction-aware classification.</x:v>
      </x:c>
      <x:c r="J43" s="31" t="str">
        <x:v>Strengthening changes should be LOW.</x:v>
      </x:c>
      <x:c r="K43" s="31" t="str">
        <x:v>Protected branch settings changed</x:v>
      </x:c>
      <x:c r="L43" s="31" t="str">
        <x:v>HIGH</x:v>
      </x:c>
      <x:c r="M43" s="31" t="str">
        <x:v>Discuss</x:v>
      </x:c>
      <x:c r="N43" s="31" t="str"/>
      <x:c r="O43" s="31" t="str"/>
    </x:row>
    <x:row r="44">
      <x:c r="A44" s="31" t="str">
        <x:v>BM-004</x:v>
      </x:c>
      <x:c r="B44" s="31" t="str">
        <x:v>BRANCH_AND_MERGE_CONTROLS</x:v>
      </x:c>
      <x:c r="C44" s="31" t="str">
        <x:v>REQUIRED_STATUS_CHECK_REMOVED</x:v>
      </x:c>
      <x:c r="D44" s="31" t="str">
        <x:v>Add</x:v>
      </x:c>
      <x:c r="E44" s="31" t="str">
        <x:v>HIGH</x:v>
      </x:c>
      <x:c r="F44" s="31" t="str">
        <x:v>Main queue</x:v>
      </x:c>
      <x:c r="G44" s="31" t="str">
        <x:v>YES</x:v>
      </x:c>
      <x:c r="H44" s="31" t="str">
        <x:v>Required CI, security, deployment, or policy check removed</x:v>
      </x:c>
      <x:c r="I44" s="31" t="str">
        <x:v>Removal allows merges without a previously required control.</x:v>
      </x:c>
      <x:c r="J44" s="31" t="str">
        <x:v>No generic suppression.</x:v>
      </x:c>
      <x:c r="K44" s="31" t="str">
        <x:v>required_status_check removed</x:v>
      </x:c>
      <x:c r="L44" s="31" t="str">
        <x:v>MEDIUM</x:v>
      </x:c>
      <x:c r="M44" s="31" t="str">
        <x:v>Accept</x:v>
      </x:c>
      <x:c r="N44" s="31" t="str"/>
      <x:c r="O44" s="31" t="str"/>
    </x:row>
    <x:row r="45">
      <x:c r="A45" s="31" t="str">
        <x:v>BM-005</x:v>
      </x:c>
      <x:c r="B45" s="31" t="str">
        <x:v>BRANCH_AND_MERGE_CONTROLS</x:v>
      </x:c>
      <x:c r="C45" s="31" t="str">
        <x:v>REQUIRED_STATUS_CHECK_CHANGE</x:v>
      </x:c>
      <x:c r="D45" s="31" t="str">
        <x:v>Existing / Split recommended</x:v>
      </x:c>
      <x:c r="E45" s="31" t="str">
        <x:v>MEDIUM</x:v>
      </x:c>
      <x:c r="F45" s="31" t="str">
        <x:v>Context only</x:v>
      </x:c>
      <x:c r="G45" s="31" t="str">
        <x:v>CONDITIONAL</x:v>
      </x:c>
      <x:c r="H45" s="31" t="str">
        <x:v>Escalate to HIGH when a check is removed or loosened</x:v>
      </x:c>
      <x:c r="I45" s="31" t="str">
        <x:v>Some changes are routine renames; others materially weaken controls.</x:v>
      </x:c>
      <x:c r="J45" s="31" t="str">
        <x:v>Strengthening additions should be LOW.</x:v>
      </x:c>
      <x:c r="K45" s="31" t="str">
        <x:v>required_status_check.*</x:v>
      </x:c>
      <x:c r="L45" s="31" t="str">
        <x:v>HIGH</x:v>
      </x:c>
      <x:c r="M45" s="31" t="str">
        <x:v>Discuss</x:v>
      </x:c>
      <x:c r="N45" s="31" t="str"/>
      <x:c r="O45" s="31" t="str"/>
    </x:row>
    <x:row r="46">
      <x:c r="A46" s="31" t="str">
        <x:v>BM-006</x:v>
      </x:c>
      <x:c r="B46" s="31" t="str">
        <x:v>BRANCH_AND_MERGE_CONTROLS</x:v>
      </x:c>
      <x:c r="C46" s="31" t="str">
        <x:v>MERGE_SETTING_CHANGE</x:v>
      </x:c>
      <x:c r="D46" s="31" t="str">
        <x:v>Existing</x:v>
      </x:c>
      <x:c r="E46" s="31" t="str">
        <x:v>MEDIUM</x:v>
      </x:c>
      <x:c r="F46" s="31" t="str">
        <x:v>Context only</x:v>
      </x:c>
      <x:c r="G46" s="31" t="str">
        <x:v>CONDITIONAL</x:v>
      </x:c>
      <x:c r="H46" s="31" t="str">
        <x:v>Escalate to HIGH if it permits unsafe merge methods on critical repos</x:v>
      </x:c>
      <x:c r="I46" s="31" t="str">
        <x:v>Merge-method changes are governance relevant but not always urgent.</x:v>
      </x:c>
      <x:c r="J46" s="31" t="str">
        <x:v>Approved standardization can be LOW.</x:v>
      </x:c>
      <x:c r="K46" s="31" t="str">
        <x:v>repo.change_merge_setting</x:v>
      </x:c>
      <x:c r="L46" s="31" t="str">
        <x:v>HIGH</x:v>
      </x:c>
      <x:c r="M46" s="31" t="str">
        <x:v>Accept</x:v>
      </x:c>
      <x:c r="N46" s="31" t="str"/>
      <x:c r="O46" s="31" t="str"/>
    </x:row>
    <x:row r="47">
      <x:c r="A47" s="31" t="str">
        <x:v>BM-007</x:v>
      </x:c>
      <x:c r="B47" s="31" t="str">
        <x:v>BRANCH_AND_MERGE_CONTROLS</x:v>
      </x:c>
      <x:c r="C47" s="31" t="str">
        <x:v>FORCE_PUSH_ENABLED</x:v>
      </x:c>
      <x:c r="D47" s="31" t="str">
        <x:v>Add</x:v>
      </x:c>
      <x:c r="E47" s="31" t="str">
        <x:v>HIGH</x:v>
      </x:c>
      <x:c r="F47" s="31" t="str">
        <x:v>Main queue</x:v>
      </x:c>
      <x:c r="G47" s="31" t="str">
        <x:v>YES</x:v>
      </x:c>
      <x:c r="H47" s="31" t="str">
        <x:v>Protected/default branch</x:v>
      </x:c>
      <x:c r="I47" s="31" t="str">
        <x:v>Force pushes can rewrite history and bypass normal review evidence.</x:v>
      </x:c>
      <x:c r="J47" s="31" t="str">
        <x:v>No generic suppression.</x:v>
      </x:c>
      <x:c r="K47" s="31" t="str">
        <x:v>Allow force pushes enabled</x:v>
      </x:c>
      <x:c r="L47" s="31" t="str">
        <x:v>MEDIUM</x:v>
      </x:c>
      <x:c r="M47" s="31" t="str">
        <x:v>Accept</x:v>
      </x:c>
      <x:c r="N47" s="31" t="str"/>
      <x:c r="O47" s="31" t="str"/>
    </x:row>
    <x:row r="48">
      <x:c r="A48" s="31" t="str">
        <x:v>BM-008</x:v>
      </x:c>
      <x:c r="B48" s="31" t="str">
        <x:v>BRANCH_AND_MERGE_CONTROLS</x:v>
      </x:c>
      <x:c r="C48" s="31" t="str">
        <x:v>BRANCH_DELETION_ENABLED</x:v>
      </x:c>
      <x:c r="D48" s="31" t="str">
        <x:v>Add</x:v>
      </x:c>
      <x:c r="E48" s="31" t="str">
        <x:v>MEDIUM</x:v>
      </x:c>
      <x:c r="F48" s="31" t="str">
        <x:v>Context only</x:v>
      </x:c>
      <x:c r="G48" s="31" t="str">
        <x:v>CONDITIONAL</x:v>
      </x:c>
      <x:c r="H48" s="31" t="str">
        <x:v>Escalate to HIGH for default or release branch</x:v>
      </x:c>
      <x:c r="I48" s="31" t="str">
        <x:v>Permitting deletion increases accidental or malicious branch-loss risk.</x:v>
      </x:c>
      <x:c r="J48" s="31" t="str">
        <x:v>Approved temporary maintenance can be MEDIUM.</x:v>
      </x:c>
      <x:c r="K48" s="31" t="str">
        <x:v>Allow deletions enabled</x:v>
      </x:c>
      <x:c r="L48" s="31" t="str">
        <x:v>MEDIUM</x:v>
      </x:c>
      <x:c r="M48" s="31" t="str">
        <x:v>Accept</x:v>
      </x:c>
      <x:c r="N48" s="31" t="str"/>
      <x:c r="O48" s="31" t="str"/>
    </x:row>
    <x:row r="49">
      <x:c r="A49" s="31" t="str">
        <x:v>BM-009</x:v>
      </x:c>
      <x:c r="B49" s="31" t="str">
        <x:v>BRANCH_AND_MERGE_CONTROLS</x:v>
      </x:c>
      <x:c r="C49" s="31" t="str">
        <x:v>ADMIN_ENFORCEMENT_DISABLED</x:v>
      </x:c>
      <x:c r="D49" s="31" t="str">
        <x:v>Add</x:v>
      </x:c>
      <x:c r="E49" s="31" t="str">
        <x:v>HIGH</x:v>
      </x:c>
      <x:c r="F49" s="31" t="str">
        <x:v>Main queue</x:v>
      </x:c>
      <x:c r="G49" s="31" t="str">
        <x:v>YES</x:v>
      </x:c>
      <x:c r="H49" s="31" t="str">
        <x:v>Any protected critical branch</x:v>
      </x:c>
      <x:c r="I49" s="31" t="str">
        <x:v>Administrators can bypass protections when enforcement is disabled.</x:v>
      </x:c>
      <x:c r="J49" s="31" t="str">
        <x:v>No wildcard suppression.</x:v>
      </x:c>
      <x:c r="K49" s="31" t="str">
        <x:v>Include administrators disabled / enforcement removed</x:v>
      </x:c>
      <x:c r="L49" s="31" t="str">
        <x:v>MEDIUM</x:v>
      </x:c>
      <x:c r="M49" s="31" t="str">
        <x:v>Accept</x:v>
      </x:c>
      <x:c r="N49" s="31" t="str"/>
      <x:c r="O49" s="31" t="str"/>
    </x:row>
    <x:row r="50">
      <x:c r="A50" s="31" t="str">
        <x:v>BM-010</x:v>
      </x:c>
      <x:c r="B50" s="31" t="str">
        <x:v>BRANCH_AND_MERGE_CONTROLS</x:v>
      </x:c>
      <x:c r="C50" s="31" t="str">
        <x:v>REQUIRED_APPROVAL_COUNT_REDUCED</x:v>
      </x:c>
      <x:c r="D50" s="31" t="str">
        <x:v>Add</x:v>
      </x:c>
      <x:c r="E50" s="31" t="str">
        <x:v>HIGH</x:v>
      </x:c>
      <x:c r="F50" s="31" t="str">
        <x:v>Main queue</x:v>
      </x:c>
      <x:c r="G50" s="31" t="str">
        <x:v>YES</x:v>
      </x:c>
      <x:c r="H50" s="31" t="str">
        <x:v>Critical or production branch</x:v>
      </x:c>
      <x:c r="I50" s="31" t="str">
        <x:v>Fewer approvals reduce independent review.</x:v>
      </x:c>
      <x:c r="J50" s="31" t="str">
        <x:v>Approved temporary reduction must expire.</x:v>
      </x:c>
      <x:c r="K50" s="31" t="str">
        <x:v>Required approving review count decreased</x:v>
      </x:c>
      <x:c r="L50" s="31" t="str">
        <x:v>MEDIUM</x:v>
      </x:c>
      <x:c r="M50" s="31" t="str">
        <x:v>Accept</x:v>
      </x:c>
      <x:c r="N50" s="31" t="str"/>
      <x:c r="O50" s="31" t="str"/>
    </x:row>
    <x:row r="51">
      <x:c r="A51" s="31" t="str">
        <x:v>BM-011</x:v>
      </x:c>
      <x:c r="B51" s="31" t="str">
        <x:v>BRANCH_AND_MERGE_CONTROLS</x:v>
      </x:c>
      <x:c r="C51" s="31" t="str">
        <x:v>CODE_OWNER_REVIEW_DISABLED</x:v>
      </x:c>
      <x:c r="D51" s="31" t="str">
        <x:v>Add</x:v>
      </x:c>
      <x:c r="E51" s="31" t="str">
        <x:v>HIGH</x:v>
      </x:c>
      <x:c r="F51" s="31" t="str">
        <x:v>Main queue</x:v>
      </x:c>
      <x:c r="G51" s="31" t="str">
        <x:v>YES</x:v>
      </x:c>
      <x:c r="H51" s="31" t="str">
        <x:v>Repository uses CODEOWNERS for control ownership</x:v>
      </x:c>
      <x:c r="I51" s="31" t="str">
        <x:v>Disabling code-owner review removes mandatory domain-owner approval.</x:v>
      </x:c>
      <x:c r="J51" s="31" t="str">
        <x:v>No generic suppression.</x:v>
      </x:c>
      <x:c r="K51" s="31" t="str">
        <x:v>Require code-owner review disabled</x:v>
      </x:c>
      <x:c r="L51" s="31" t="str">
        <x:v>MEDIUM</x:v>
      </x:c>
      <x:c r="M51" s="31" t="str">
        <x:v>Accept</x:v>
      </x:c>
      <x:c r="N51" s="31" t="str"/>
      <x:c r="O51" s="31" t="str"/>
    </x:row>
    <x:row r="52">
      <x:c r="A52" s="31" t="str">
        <x:v>BM-012</x:v>
      </x:c>
      <x:c r="B52" s="31" t="str">
        <x:v>BRANCH_AND_MERGE_CONTROLS</x:v>
      </x:c>
      <x:c r="C52" s="31" t="str">
        <x:v>SIGNED_COMMITS_DISABLED</x:v>
      </x:c>
      <x:c r="D52" s="31" t="str">
        <x:v>Add</x:v>
      </x:c>
      <x:c r="E52" s="31" t="str">
        <x:v>MEDIUM</x:v>
      </x:c>
      <x:c r="F52" s="31" t="str">
        <x:v>Context only</x:v>
      </x:c>
      <x:c r="G52" s="31" t="str">
        <x:v>CONDITIONAL</x:v>
      </x:c>
      <x:c r="H52" s="31" t="str">
        <x:v>Escalate to HIGH where signed commits are a formal control</x:v>
      </x:c>
      <x:c r="I52" s="31" t="str">
        <x:v>Weakens provenance assurance but often has lower immediate impact.</x:v>
      </x:c>
      <x:c r="J52" s="31" t="str">
        <x:v>Approved policy change can remain MEDIUM.</x:v>
      </x:c>
      <x:c r="K52" s="31" t="str">
        <x:v>Require signed commits disabled</x:v>
      </x:c>
      <x:c r="L52" s="31" t="str">
        <x:v>MEDIUM</x:v>
      </x:c>
      <x:c r="M52" s="31" t="str">
        <x:v>Accept</x:v>
      </x:c>
      <x:c r="N52" s="31" t="str"/>
      <x:c r="O52" s="31" t="str"/>
    </x:row>
    <x:row r="53">
      <x:c r="A53" s="31" t="str">
        <x:v>BM-013</x:v>
      </x:c>
      <x:c r="B53" s="31" t="str">
        <x:v>BRANCH_AND_MERGE_CONTROLS</x:v>
      </x:c>
      <x:c r="C53" s="31" t="str">
        <x:v>CONVERSATION_RESOLUTION_DISABLED</x:v>
      </x:c>
      <x:c r="D53" s="31" t="str">
        <x:v>Add</x:v>
      </x:c>
      <x:c r="E53" s="31" t="str">
        <x:v>MEDIUM</x:v>
      </x:c>
      <x:c r="F53" s="31" t="str">
        <x:v>Context only</x:v>
      </x:c>
      <x:c r="G53" s="31" t="str">
        <x:v>NO</x:v>
      </x:c>
      <x:c r="H53" s="31" t="str">
        <x:v>—</x:v>
      </x:c>
      <x:c r="I53" s="31" t="str">
        <x:v>Weakens review completion quality but rarely warrants an alert.</x:v>
      </x:c>
      <x:c r="J53" s="31" t="str">
        <x:v>No alert.</x:v>
      </x:c>
      <x:c r="K53" s="31" t="str">
        <x:v>Require conversation resolution disabled</x:v>
      </x:c>
      <x:c r="L53" s="31" t="str">
        <x:v>MEDIUM</x:v>
      </x:c>
      <x:c r="M53" s="31" t="str">
        <x:v>Accept</x:v>
      </x:c>
      <x:c r="N53" s="31" t="str"/>
      <x:c r="O53" s="31" t="str"/>
    </x:row>
    <x:row r="54">
      <x:c r="A54" s="31" t="str">
        <x:v>BM-014</x:v>
      </x:c>
      <x:c r="B54" s="31" t="str">
        <x:v>BRANCH_AND_MERGE_CONTROLS</x:v>
      </x:c>
      <x:c r="C54" s="31" t="str">
        <x:v>RULESET_DISABLED_OR_DELETED</x:v>
      </x:c>
      <x:c r="D54" s="31" t="str">
        <x:v>Add</x:v>
      </x:c>
      <x:c r="E54" s="31" t="str">
        <x:v>HIGH</x:v>
      </x:c>
      <x:c r="F54" s="31" t="str">
        <x:v>Main queue</x:v>
      </x:c>
      <x:c r="G54" s="31" t="str">
        <x:v>YES</x:v>
      </x:c>
      <x:c r="H54" s="31" t="str">
        <x:v>Enterprise/org ruleset or critical repo</x:v>
      </x:c>
      <x:c r="I54" s="31" t="str">
        <x:v>Rulesets may enforce multiple controls at once; disabling them can have broad impact.</x:v>
      </x:c>
      <x:c r="J54" s="31" t="str">
        <x:v>No wildcard suppression.</x:v>
      </x:c>
      <x:c r="K54" s="31" t="str">
        <x:v>Repository/org ruleset disabled or deleted</x:v>
      </x:c>
      <x:c r="L54" s="31" t="str">
        <x:v>MEDIUM</x:v>
      </x:c>
      <x:c r="M54" s="31" t="str">
        <x:v>Accept</x:v>
      </x:c>
      <x:c r="N54" s="31" t="str"/>
      <x:c r="O54" s="31" t="str"/>
    </x:row>
    <x:row r="55">
      <x:c r="A55" s="31" t="str">
        <x:v>BM-015</x:v>
      </x:c>
      <x:c r="B55" s="31" t="str">
        <x:v>BRANCH_AND_MERGE_CONTROLS</x:v>
      </x:c>
      <x:c r="C55" s="31" t="str">
        <x:v>RULESET_BYPASS_GRANTED</x:v>
      </x:c>
      <x:c r="D55" s="31" t="str">
        <x:v>Add</x:v>
      </x:c>
      <x:c r="E55" s="31" t="str">
        <x:v>HIGH</x:v>
      </x:c>
      <x:c r="F55" s="31" t="str">
        <x:v>Main queue</x:v>
      </x:c>
      <x:c r="G55" s="31" t="str">
        <x:v>YES</x:v>
      </x:c>
      <x:c r="H55" s="31" t="str">
        <x:v>New actor/team/app receives bypass</x:v>
      </x:c>
      <x:c r="I55" s="31" t="str">
        <x:v>Bypass permission is durable control circumvention.</x:v>
      </x:c>
      <x:c r="J55" s="31" t="str">
        <x:v>Require owner and expiry.</x:v>
      </x:c>
      <x:c r="K55" s="31" t="str">
        <x:v>Ruleset bypass actor/team/app added</x:v>
      </x:c>
      <x:c r="L55" s="31" t="str">
        <x:v>LOW</x:v>
      </x:c>
      <x:c r="M55" s="31" t="str">
        <x:v>Accept</x:v>
      </x:c>
      <x:c r="N55" s="31" t="str"/>
      <x:c r="O55" s="31" t="str"/>
    </x:row>
    <x:row r="56">
      <x:c r="A56" s="31" t="str">
        <x:v>BM-016</x:v>
      </x:c>
      <x:c r="B56" s="31" t="str">
        <x:v>BRANCH_AND_MERGE_CONTROLS</x:v>
      </x:c>
      <x:c r="C56" s="31" t="str">
        <x:v>RULESET_STRENGTHENED</x:v>
      </x:c>
      <x:c r="D56" s="31" t="str">
        <x:v>Add</x:v>
      </x:c>
      <x:c r="E56" s="31" t="str">
        <x:v>LOW</x:v>
      </x:c>
      <x:c r="F56" s="31" t="str">
        <x:v>Context only</x:v>
      </x:c>
      <x:c r="G56" s="31" t="str">
        <x:v>NO</x:v>
      </x:c>
      <x:c r="H56" s="31" t="str">
        <x:v>—</x:v>
      </x:c>
      <x:c r="I56" s="31" t="str">
        <x:v>Positive control improvement; useful as evidence, not an alert.</x:v>
      </x:c>
      <x:c r="J56" s="31" t="str">
        <x:v>No alert.</x:v>
      </x:c>
      <x:c r="K56" s="31" t="str">
        <x:v>Ruleset created or control added</x:v>
      </x:c>
      <x:c r="L56" s="31" t="str">
        <x:v>MEDIUM</x:v>
      </x:c>
      <x:c r="M56" s="31" t="str">
        <x:v>Accept</x:v>
      </x:c>
      <x:c r="N56" s="31" t="str"/>
      <x:c r="O56" s="31" t="str"/>
    </x:row>
    <x:row r="57">
      <x:c r="A57" s="31" t="str">
        <x:v>AS-001</x:v>
      </x:c>
      <x:c r="B57" s="31" t="str">
        <x:v>ADVANCED_SECURITY_POSTURE</x:v>
      </x:c>
      <x:c r="C57" s="31" t="str">
        <x:v>PUSH_PROTECTION_DISABLED</x:v>
      </x:c>
      <x:c r="D57" s="31" t="str">
        <x:v>Existing</x:v>
      </x:c>
      <x:c r="E57" s="31" t="str">
        <x:v>CRITICAL</x:v>
      </x:c>
      <x:c r="F57" s="31" t="str">
        <x:v>Main queue</x:v>
      </x:c>
      <x:c r="G57" s="31" t="str">
        <x:v>YES</x:v>
      </x:c>
      <x:c r="H57" s="31" t="str">
        <x:v>Always unless explicit event-specific maintenance</x:v>
      </x:c>
      <x:c r="I57" s="31" t="str">
        <x:v>Disabling push protection allows new secrets to be pushed without preventive blocking.</x:v>
      </x:c>
      <x:c r="J57" s="31" t="str">
        <x:v>Do not suppress via generic bot wildcard.</x:v>
      </x:c>
      <x:c r="K57" s="31" t="str">
        <x:v>Push protection disabled</x:v>
      </x:c>
      <x:c r="L57" s="31" t="str">
        <x:v>HIGH</x:v>
      </x:c>
      <x:c r="M57" s="31" t="str">
        <x:v>Accept</x:v>
      </x:c>
      <x:c r="N57" s="31" t="str"/>
      <x:c r="O57" s="31" t="str"/>
    </x:row>
    <x:row r="58">
      <x:c r="A58" s="31" t="str">
        <x:v>AS-002</x:v>
      </x:c>
      <x:c r="B58" s="31" t="str">
        <x:v>ADVANCED_SECURITY_POSTURE</x:v>
      </x:c>
      <x:c r="C58" s="31" t="str">
        <x:v>PUSH_PROTECTION_BYPASS</x:v>
      </x:c>
      <x:c r="D58" s="31" t="str">
        <x:v>Existing</x:v>
      </x:c>
      <x:c r="E58" s="31" t="str">
        <x:v>HIGH</x:v>
      </x:c>
      <x:c r="F58" s="31" t="str">
        <x:v>Main queue</x:v>
      </x:c>
      <x:c r="G58" s="31" t="str">
        <x:v>YES</x:v>
      </x:c>
      <x:c r="H58" s="31" t="str">
        <x:v>Persistent bypass, high-secret severity, or critical repository</x:v>
      </x:c>
      <x:c r="I58" s="31" t="str">
        <x:v>Bypass allows a known secret exposure path to proceed.</x:v>
      </x:c>
      <x:c r="J58" s="31" t="str">
        <x:v>Downgrade only when documented and time-bounded.</x:v>
      </x:c>
      <x:c r="K58" s="31" t="str">
        <x:v>Push-protection bypass allowed/used</x:v>
      </x:c>
      <x:c r="L58" s="31" t="str">
        <x:v>HIGH</x:v>
      </x:c>
      <x:c r="M58" s="31" t="str">
        <x:v>Accept</x:v>
      </x:c>
      <x:c r="N58" s="31" t="str"/>
      <x:c r="O58" s="31" t="str"/>
    </x:row>
    <x:row r="59">
      <x:c r="A59" s="31" t="str">
        <x:v>AS-003</x:v>
      </x:c>
      <x:c r="B59" s="31" t="str">
        <x:v>ADVANCED_SECURITY_POSTURE</x:v>
      </x:c>
      <x:c r="C59" s="31" t="str">
        <x:v>ADVANCED_SECURITY_DISABLED</x:v>
      </x:c>
      <x:c r="D59" s="31" t="str">
        <x:v>Existing</x:v>
      </x:c>
      <x:c r="E59" s="31" t="str">
        <x:v>CRITICAL</x:v>
      </x:c>
      <x:c r="F59" s="31" t="str">
        <x:v>Main queue</x:v>
      </x:c>
      <x:c r="G59" s="31" t="str">
        <x:v>YES</x:v>
      </x:c>
      <x:c r="H59" s="31" t="str">
        <x:v>Always</x:v>
      </x:c>
      <x:c r="I59" s="31" t="str">
        <x:v>Disables the umbrella security feature set and can remove multiple detections.</x:v>
      </x:c>
      <x:c r="J59" s="31" t="str">
        <x:v>No generic suppression.</x:v>
      </x:c>
      <x:c r="K59" s="31" t="str">
        <x:v>GitHub Advanced Security disabled</x:v>
      </x:c>
      <x:c r="L59" s="31" t="str">
        <x:v>HIGH</x:v>
      </x:c>
      <x:c r="M59" s="31" t="str">
        <x:v>Accept</x:v>
      </x:c>
      <x:c r="N59" s="31" t="str"/>
      <x:c r="O59" s="31" t="str"/>
    </x:row>
    <x:row r="60">
      <x:c r="A60" s="31" t="str">
        <x:v>AS-004</x:v>
      </x:c>
      <x:c r="B60" s="31" t="str">
        <x:v>ADVANCED_SECURITY_POSTURE</x:v>
      </x:c>
      <x:c r="C60" s="31" t="str">
        <x:v>SECRET_SCANNING_DISABLED</x:v>
      </x:c>
      <x:c r="D60" s="31" t="str">
        <x:v>Existing</x:v>
      </x:c>
      <x:c r="E60" s="31" t="str">
        <x:v>CRITICAL</x:v>
      </x:c>
      <x:c r="F60" s="31" t="str">
        <x:v>Main queue</x:v>
      </x:c>
      <x:c r="G60" s="31" t="str">
        <x:v>YES</x:v>
      </x:c>
      <x:c r="H60" s="31" t="str">
        <x:v>Always</x:v>
      </x:c>
      <x:c r="I60" s="31" t="str">
        <x:v>Stops detection of committed secrets.</x:v>
      </x:c>
      <x:c r="J60" s="31" t="str">
        <x:v>No generic suppression.</x:v>
      </x:c>
      <x:c r="K60" s="31" t="str">
        <x:v>Secret scanning disabled</x:v>
      </x:c>
      <x:c r="L60" s="31" t="str">
        <x:v>HIGH</x:v>
      </x:c>
      <x:c r="M60" s="31" t="str">
        <x:v>Accept</x:v>
      </x:c>
      <x:c r="N60" s="31" t="str"/>
      <x:c r="O60" s="31" t="str"/>
    </x:row>
    <x:row r="61">
      <x:c r="A61" s="31" t="str">
        <x:v>AS-005</x:v>
      </x:c>
      <x:c r="B61" s="31" t="str">
        <x:v>ADVANCED_SECURITY_POSTURE</x:v>
      </x:c>
      <x:c r="C61" s="31" t="str">
        <x:v>CODE_SCANNING_DISABLED</x:v>
      </x:c>
      <x:c r="D61" s="31" t="str">
        <x:v>Existing</x:v>
      </x:c>
      <x:c r="E61" s="31" t="str">
        <x:v>CRITICAL</x:v>
      </x:c>
      <x:c r="F61" s="31" t="str">
        <x:v>Main queue</x:v>
      </x:c>
      <x:c r="G61" s="31" t="str">
        <x:v>YES</x:v>
      </x:c>
      <x:c r="H61" s="31" t="str">
        <x:v>Critical or production repository</x:v>
      </x:c>
      <x:c r="I61" s="31" t="str">
        <x:v>Stops static analysis and removes a key vulnerability control.</x:v>
      </x:c>
      <x:c r="J61" s="31" t="str">
        <x:v>No generic suppression.</x:v>
      </x:c>
      <x:c r="K61" s="31" t="str">
        <x:v>Code scanning disabled</x:v>
      </x:c>
      <x:c r="L61" s="31" t="str">
        <x:v>HIGH</x:v>
      </x:c>
      <x:c r="M61" s="31" t="str">
        <x:v>Accept</x:v>
      </x:c>
      <x:c r="N61" s="31" t="str"/>
      <x:c r="O61" s="31" t="str"/>
    </x:row>
    <x:row r="62">
      <x:c r="A62" s="31" t="str">
        <x:v>AS-006</x:v>
      </x:c>
      <x:c r="B62" s="31" t="str">
        <x:v>ADVANCED_SECURITY_POSTURE</x:v>
      </x:c>
      <x:c r="C62" s="31" t="str">
        <x:v>CODEQL_DISABLED</x:v>
      </x:c>
      <x:c r="D62" s="31" t="str">
        <x:v>Existing</x:v>
      </x:c>
      <x:c r="E62" s="31" t="str">
        <x:v>CRITICAL</x:v>
      </x:c>
      <x:c r="F62" s="31" t="str">
        <x:v>Main queue</x:v>
      </x:c>
      <x:c r="G62" s="31" t="str">
        <x:v>YES</x:v>
      </x:c>
      <x:c r="H62" s="31" t="str">
        <x:v>Critical or production repository</x:v>
      </x:c>
      <x:c r="I62" s="31" t="str">
        <x:v>Removes CodeQL analysis where it was an established control.</x:v>
      </x:c>
      <x:c r="J62" s="31" t="str">
        <x:v>No generic suppression.</x:v>
      </x:c>
      <x:c r="K62" s="31" t="str">
        <x:v>CodeQL disabled</x:v>
      </x:c>
      <x:c r="L62" s="31" t="str">
        <x:v>HIGH</x:v>
      </x:c>
      <x:c r="M62" s="31" t="str">
        <x:v>Accept</x:v>
      </x:c>
      <x:c r="N62" s="31" t="str"/>
      <x:c r="O62" s="31" t="str"/>
    </x:row>
    <x:row r="63">
      <x:c r="A63" s="31" t="str">
        <x:v>AS-007</x:v>
      </x:c>
      <x:c r="B63" s="31" t="str">
        <x:v>ADVANCED_SECURITY_POSTURE</x:v>
      </x:c>
      <x:c r="C63" s="31" t="str">
        <x:v>SECURITY_CONFIGURATION_REMOVED</x:v>
      </x:c>
      <x:c r="D63" s="31" t="str">
        <x:v>Existing</x:v>
      </x:c>
      <x:c r="E63" s="31" t="str">
        <x:v>CRITICAL</x:v>
      </x:c>
      <x:c r="F63" s="31" t="str">
        <x:v>Main queue</x:v>
      </x:c>
      <x:c r="G63" s="31" t="str">
        <x:v>YES</x:v>
      </x:c>
      <x:c r="H63" s="31" t="str">
        <x:v>Removal causes any security feature to be disabled</x:v>
      </x:c>
      <x:c r="I63" s="31" t="str">
        <x:v>A security configuration can centrally enforce several controls; removal can create broad drift.</x:v>
      </x:c>
      <x:c r="J63" s="31" t="str">
        <x:v>Generic provisioning bots may be LOW only when an approved replacement configuration is applied.</x:v>
      </x:c>
      <x:c r="K63" s="31" t="str">
        <x:v>Security configuration removed/detached</x:v>
      </x:c>
      <x:c r="L63" s="31" t="str">
        <x:v>HIGH</x:v>
      </x:c>
      <x:c r="M63" s="31" t="str">
        <x:v>Accept</x:v>
      </x:c>
      <x:c r="N63" s="31" t="str"/>
      <x:c r="O63" s="31" t="str"/>
    </x:row>
    <x:row r="64">
      <x:c r="A64" s="31" t="str">
        <x:v>AS-008</x:v>
      </x:c>
      <x:c r="B64" s="31" t="str">
        <x:v>ADVANCED_SECURITY_POSTURE</x:v>
      </x:c>
      <x:c r="C64" s="31" t="str">
        <x:v>SECURITY_CONFIGURATION_FAILED</x:v>
      </x:c>
      <x:c r="D64" s="31" t="str">
        <x:v>Existing</x:v>
      </x:c>
      <x:c r="E64" s="31" t="str">
        <x:v>HIGH</x:v>
      </x:c>
      <x:c r="F64" s="31" t="str">
        <x:v>Main queue</x:v>
      </x:c>
      <x:c r="G64" s="31" t="str">
        <x:v>YES</x:v>
      </x:c>
      <x:c r="H64" s="31" t="str">
        <x:v>Critical repository or repeated failure</x:v>
      </x:c>
      <x:c r="I64" s="31" t="str">
        <x:v>The intended security baseline was not successfully applied.</x:v>
      </x:c>
      <x:c r="J64" s="31" t="str">
        <x:v>Suppress only during known rollout with tracked remediation.</x:v>
      </x:c>
      <x:c r="K64" s="31" t="str">
        <x:v>Security configuration application failed</x:v>
      </x:c>
      <x:c r="L64" s="31" t="str">
        <x:v>HIGH</x:v>
      </x:c>
      <x:c r="M64" s="31" t="str">
        <x:v>Accept</x:v>
      </x:c>
      <x:c r="N64" s="31" t="str"/>
      <x:c r="O64" s="31" t="str"/>
    </x:row>
    <x:row r="65">
      <x:c r="A65" s="31" t="str">
        <x:v>AS-009</x:v>
      </x:c>
      <x:c r="B65" s="31" t="str">
        <x:v>ADVANCED_SECURITY_POSTURE</x:v>
      </x:c>
      <x:c r="C65" s="31" t="str">
        <x:v>SECURITY_CONFIGURATION_APPLIED</x:v>
      </x:c>
      <x:c r="D65" s="31" t="str">
        <x:v>Existing</x:v>
      </x:c>
      <x:c r="E65" s="31" t="str">
        <x:v>LOW</x:v>
      </x:c>
      <x:c r="F65" s="31" t="str">
        <x:v>Context only</x:v>
      </x:c>
      <x:c r="G65" s="31" t="str">
        <x:v>NO</x:v>
      </x:c>
      <x:c r="H65" s="31" t="str">
        <x:v>—</x:v>
      </x:c>
      <x:c r="I65" s="31" t="str">
        <x:v>Positive baseline application; keep as evidence only.</x:v>
      </x:c>
      <x:c r="J65" s="31" t="str">
        <x:v>Approved automation remains LOW.</x:v>
      </x:c>
      <x:c r="K65" s="31" t="str">
        <x:v>Security configuration applied</x:v>
      </x:c>
      <x:c r="L65" s="31" t="str">
        <x:v>HIGH</x:v>
      </x:c>
      <x:c r="M65" s="31" t="str">
        <x:v>Accept</x:v>
      </x:c>
      <x:c r="N65" s="31" t="str"/>
      <x:c r="O65" s="31" t="str"/>
    </x:row>
    <x:row r="66">
      <x:c r="A66" s="31" t="str">
        <x:v>AS-010</x:v>
      </x:c>
      <x:c r="B66" s="31" t="str">
        <x:v>ADVANCED_SECURITY_POSTURE</x:v>
      </x:c>
      <x:c r="C66" s="31" t="str">
        <x:v>SECURITY_CONFIGURATION_CHANGED</x:v>
      </x:c>
      <x:c r="D66" s="31" t="str">
        <x:v>Existing / Split recommended</x:v>
      </x:c>
      <x:c r="E66" s="31" t="str">
        <x:v>MEDIUM</x:v>
      </x:c>
      <x:c r="F66" s="31" t="str">
        <x:v>Context only</x:v>
      </x:c>
      <x:c r="G66" s="31" t="str">
        <x:v>CONDITIONAL</x:v>
      </x:c>
      <x:c r="H66" s="31" t="str">
        <x:v>Escalate when configuration weakens or removes a capability</x:v>
      </x:c>
      <x:c r="I66" s="31" t="str">
        <x:v>Generic change does not distinguish strengthening from weakening.</x:v>
      </x:c>
      <x:c r="J66" s="31" t="str">
        <x:v>Split into strengthened/weakened.</x:v>
      </x:c>
      <x:c r="K66" s="31" t="str">
        <x:v>Security configuration edited</x:v>
      </x:c>
      <x:c r="L66" s="31" t="str">
        <x:v>HIGH</x:v>
      </x:c>
      <x:c r="M66" s="31" t="str">
        <x:v>Discuss</x:v>
      </x:c>
      <x:c r="N66" s="31" t="str"/>
      <x:c r="O66" s="31" t="str"/>
    </x:row>
    <x:row r="67">
      <x:c r="A67" s="31" t="str">
        <x:v>AS-011</x:v>
      </x:c>
      <x:c r="B67" s="31" t="str">
        <x:v>ADVANCED_SECURITY_POSTURE</x:v>
      </x:c>
      <x:c r="C67" s="31" t="str">
        <x:v>DEPENDABOT_SECURITY_UPDATES_DISABLED</x:v>
      </x:c>
      <x:c r="D67" s="31" t="str">
        <x:v>Existing</x:v>
      </x:c>
      <x:c r="E67" s="31" t="str">
        <x:v>HIGH</x:v>
      </x:c>
      <x:c r="F67" s="31" t="str">
        <x:v>Main queue</x:v>
      </x:c>
      <x:c r="G67" s="31" t="str">
        <x:v>YES</x:v>
      </x:c>
      <x:c r="H67" s="31" t="str">
        <x:v>Production or internet-facing repository</x:v>
      </x:c>
      <x:c r="I67" s="31" t="str">
        <x:v>Stops automated security-fix pull requests.</x:v>
      </x:c>
      <x:c r="J67" s="31" t="str">
        <x:v>No generic suppression.</x:v>
      </x:c>
      <x:c r="K67" s="31" t="str">
        <x:v>Dependabot security updates disabled</x:v>
      </x:c>
      <x:c r="L67" s="31" t="str">
        <x:v>HIGH</x:v>
      </x:c>
      <x:c r="M67" s="31" t="str">
        <x:v>Accept</x:v>
      </x:c>
      <x:c r="N67" s="31" t="str"/>
      <x:c r="O67" s="31" t="str"/>
    </x:row>
    <x:row r="68">
      <x:c r="A68" s="31" t="str">
        <x:v>AS-012</x:v>
      </x:c>
      <x:c r="B68" s="31" t="str">
        <x:v>ADVANCED_SECURITY_POSTURE</x:v>
      </x:c>
      <x:c r="C68" s="31" t="str">
        <x:v>VULNERABILITY_ALERTS_DISABLED</x:v>
      </x:c>
      <x:c r="D68" s="31" t="str">
        <x:v>Existing</x:v>
      </x:c>
      <x:c r="E68" s="31" t="str">
        <x:v>HIGH</x:v>
      </x:c>
      <x:c r="F68" s="31" t="str">
        <x:v>Main queue</x:v>
      </x:c>
      <x:c r="G68" s="31" t="str">
        <x:v>YES</x:v>
      </x:c>
      <x:c r="H68" s="31" t="str">
        <x:v>Production or critical repository</x:v>
      </x:c>
      <x:c r="I68" s="31" t="str">
        <x:v>Stops dependency vulnerability alerting.</x:v>
      </x:c>
      <x:c r="J68" s="31" t="str">
        <x:v>No generic suppression.</x:v>
      </x:c>
      <x:c r="K68" s="31" t="str">
        <x:v>Vulnerability alerts disabled</x:v>
      </x:c>
      <x:c r="L68" s="31" t="str">
        <x:v>HIGH</x:v>
      </x:c>
      <x:c r="M68" s="31" t="str">
        <x:v>Accept</x:v>
      </x:c>
      <x:c r="N68" s="31" t="str"/>
      <x:c r="O68" s="31" t="str"/>
    </x:row>
    <x:row r="69">
      <x:c r="A69" s="31" t="str">
        <x:v>AS-013</x:v>
      </x:c>
      <x:c r="B69" s="31" t="str">
        <x:v>ADVANCED_SECURITY_POSTURE</x:v>
      </x:c>
      <x:c r="C69" s="31" t="str">
        <x:v>DEPENDENCY_GRAPH_DISABLED</x:v>
      </x:c>
      <x:c r="D69" s="31" t="str">
        <x:v>Existing</x:v>
      </x:c>
      <x:c r="E69" s="31" t="str">
        <x:v>HIGH</x:v>
      </x:c>
      <x:c r="F69" s="31" t="str">
        <x:v>Main queue</x:v>
      </x:c>
      <x:c r="G69" s="31" t="str">
        <x:v>YES</x:v>
      </x:c>
      <x:c r="H69" s="31" t="str">
        <x:v>Repository relies on dependency security features</x:v>
      </x:c>
      <x:c r="I69" s="31" t="str">
        <x:v>Disables the data foundation for several dependency-security controls.</x:v>
      </x:c>
      <x:c r="J69" s="31" t="str">
        <x:v>No generic suppression.</x:v>
      </x:c>
      <x:c r="K69" s="31" t="str">
        <x:v>Dependency graph disabled</x:v>
      </x:c>
      <x:c r="L69" s="31" t="str">
        <x:v>HIGH</x:v>
      </x:c>
      <x:c r="M69" s="31" t="str">
        <x:v>Accept</x:v>
      </x:c>
      <x:c r="N69" s="31" t="str"/>
      <x:c r="O69" s="31" t="str"/>
    </x:row>
    <x:row r="70">
      <x:c r="A70" s="31" t="str">
        <x:v>AS-014</x:v>
      </x:c>
      <x:c r="B70" s="31" t="str">
        <x:v>ADVANCED_SECURITY_POSTURE</x:v>
      </x:c>
      <x:c r="C70" s="31" t="str">
        <x:v>CODE_SCANNING_ALERT_DISMISSED</x:v>
      </x:c>
      <x:c r="D70" s="31" t="str">
        <x:v>Existing</x:v>
      </x:c>
      <x:c r="E70" s="31" t="str">
        <x:v>MEDIUM</x:v>
      </x:c>
      <x:c r="F70" s="31" t="str">
        <x:v>Context only</x:v>
      </x:c>
      <x:c r="G70" s="31" t="str">
        <x:v>CONDITIONAL</x:v>
      </x:c>
      <x:c r="H70" s="31" t="str">
        <x:v>Escalate to HIGH for critical severity, repeated dismissals, or weak reason</x:v>
      </x:c>
      <x:c r="I70" s="31" t="str">
        <x:v>Dismissal may be legitimate risk acceptance or may hide a real issue.</x:v>
      </x:c>
      <x:c r="J70" s="31" t="str">
        <x:v>Require dismissal reason and actor attribution.</x:v>
      </x:c>
      <x:c r="K70" s="31" t="str">
        <x:v>Code scanning alert dismissed</x:v>
      </x:c>
      <x:c r="L70" s="31" t="str">
        <x:v>HIGH</x:v>
      </x:c>
      <x:c r="M70" s="31" t="str">
        <x:v>Discuss</x:v>
      </x:c>
      <x:c r="N70" s="31" t="str"/>
      <x:c r="O70" s="31" t="str"/>
    </x:row>
    <x:row r="71">
      <x:c r="A71" s="31" t="str">
        <x:v>AS-015</x:v>
      </x:c>
      <x:c r="B71" s="31" t="str">
        <x:v>ADVANCED_SECURITY_POSTURE</x:v>
      </x:c>
      <x:c r="C71" s="31" t="str">
        <x:v>SECRET_SCANNING_ALERT_DISMISSED</x:v>
      </x:c>
      <x:c r="D71" s="31" t="str">
        <x:v>Add</x:v>
      </x:c>
      <x:c r="E71" s="31" t="str">
        <x:v>HIGH</x:v>
      </x:c>
      <x:c r="F71" s="31" t="str">
        <x:v>Main queue</x:v>
      </x:c>
      <x:c r="G71" s="31" t="str">
        <x:v>YES</x:v>
      </x:c>
      <x:c r="H71" s="31" t="str">
        <x:v>Valid secret, high-impact credential, or no remediation evidence</x:v>
      </x:c>
      <x:c r="I71" s="31" t="str">
        <x:v>Dismissing a secret alert without revocation can leave a live credential exposed.</x:v>
      </x:c>
      <x:c r="J71" s="31" t="str">
        <x:v>Require remediation or explicit risk acceptance.</x:v>
      </x:c>
      <x:c r="K71" s="31" t="str">
        <x:v>Secret scanning alert resolved/dismissed</x:v>
      </x:c>
      <x:c r="L71" s="31" t="str">
        <x:v>MEDIUM</x:v>
      </x:c>
      <x:c r="M71" s="31" t="str">
        <x:v>Accept</x:v>
      </x:c>
      <x:c r="N71" s="31" t="str"/>
      <x:c r="O71" s="31" t="str"/>
    </x:row>
    <x:row r="72">
      <x:c r="A72" s="31" t="str">
        <x:v>AS-016</x:v>
      </x:c>
      <x:c r="B72" s="31" t="str">
        <x:v>ADVANCED_SECURITY_POSTURE</x:v>
      </x:c>
      <x:c r="C72" s="31" t="str">
        <x:v>SECURITY_BYPASS_LIST_EXPANDED</x:v>
      </x:c>
      <x:c r="D72" s="31" t="str">
        <x:v>Add</x:v>
      </x:c>
      <x:c r="E72" s="31" t="str">
        <x:v>HIGH</x:v>
      </x:c>
      <x:c r="F72" s="31" t="str">
        <x:v>Main queue</x:v>
      </x:c>
      <x:c r="G72" s="31" t="str">
        <x:v>YES</x:v>
      </x:c>
      <x:c r="H72" s="31" t="str">
        <x:v>New actor/team/app receives bypass</x:v>
      </x:c>
      <x:c r="I72" s="31" t="str">
        <x:v>Broadens who can bypass preventive security controls.</x:v>
      </x:c>
      <x:c r="J72" s="31" t="str">
        <x:v>Require owner, scope, and expiry.</x:v>
      </x:c>
      <x:c r="K72" s="31" t="str">
        <x:v>Push protection or security bypass list expanded</x:v>
      </x:c>
      <x:c r="L72" s="31" t="str">
        <x:v>LOW</x:v>
      </x:c>
      <x:c r="M72" s="31" t="str">
        <x:v>Accept</x:v>
      </x:c>
      <x:c r="N72" s="31" t="str"/>
      <x:c r="O72" s="31" t="str"/>
    </x:row>
    <x:row r="73">
      <x:c r="A73" s="31" t="str">
        <x:v>RS-001</x:v>
      </x:c>
      <x:c r="B73" s="31" t="str">
        <x:v>REPOSITORY_SECURITY_POSTURE</x:v>
      </x:c>
      <x:c r="C73" s="31" t="str">
        <x:v>REPOSITORY_VISIBILITY_PUBLIC</x:v>
      </x:c>
      <x:c r="D73" s="31" t="str">
        <x:v>Split from existing exposure change</x:v>
      </x:c>
      <x:c r="E73" s="31" t="str">
        <x:v>CRITICAL</x:v>
      </x:c>
      <x:c r="F73" s="31" t="str">
        <x:v>Main queue</x:v>
      </x:c>
      <x:c r="G73" s="31" t="str">
        <x:v>YES</x:v>
      </x:c>
      <x:c r="H73" s="31" t="str">
        <x:v>Always</x:v>
      </x:c>
      <x:c r="I73" s="31" t="str">
        <x:v>A non-public repository becoming public can immediately expose code, history, secrets, and internal metadata.</x:v>
      </x:c>
      <x:c r="J73" s="31" t="str">
        <x:v>No generic suppression.</x:v>
      </x:c>
      <x:c r="K73" s="31" t="str">
        <x:v>repository visibility changed to public</x:v>
      </x:c>
      <x:c r="L73" s="31" t="str">
        <x:v>HIGH</x:v>
      </x:c>
      <x:c r="M73" s="31" t="str">
        <x:v>Accept</x:v>
      </x:c>
      <x:c r="N73" s="31" t="str"/>
      <x:c r="O73" s="31" t="str"/>
    </x:row>
    <x:row r="74">
      <x:c r="A74" s="31" t="str">
        <x:v>RS-002</x:v>
      </x:c>
      <x:c r="B74" s="31" t="str">
        <x:v>REPOSITORY_SECURITY_POSTURE</x:v>
      </x:c>
      <x:c r="C74" s="31" t="str">
        <x:v>REPOSITORY_VISIBILITY_INTERNAL</x:v>
      </x:c>
      <x:c r="D74" s="31" t="str">
        <x:v>Split from existing exposure change</x:v>
      </x:c>
      <x:c r="E74" s="31" t="str">
        <x:v>HIGH</x:v>
      </x:c>
      <x:c r="F74" s="31" t="str">
        <x:v>Main queue</x:v>
      </x:c>
      <x:c r="G74" s="31" t="str">
        <x:v>YES</x:v>
      </x:c>
      <x:c r="H74" s="31" t="str">
        <x:v>Private repository becomes internal</x:v>
      </x:c>
      <x:c r="I74" s="31" t="str">
        <x:v>Broadens access from a limited group to the enterprise population.</x:v>
      </x:c>
      <x:c r="J74" s="31" t="str">
        <x:v>Approved open-sourcing/internalization can be downgraded with evidence.</x:v>
      </x:c>
      <x:c r="K74" s="31" t="str">
        <x:v>repository visibility changed to internal</x:v>
      </x:c>
      <x:c r="L74" s="31" t="str">
        <x:v>HIGH</x:v>
      </x:c>
      <x:c r="M74" s="31" t="str">
        <x:v>Accept</x:v>
      </x:c>
      <x:c r="N74" s="31" t="str"/>
      <x:c r="O74" s="31" t="str"/>
    </x:row>
    <x:row r="75">
      <x:c r="A75" s="31" t="str">
        <x:v>RS-003</x:v>
      </x:c>
      <x:c r="B75" s="31" t="str">
        <x:v>REPOSITORY_SECURITY_POSTURE</x:v>
      </x:c>
      <x:c r="C75" s="31" t="str">
        <x:v>REPOSITORY_VISIBILITY_PRIVATE</x:v>
      </x:c>
      <x:c r="D75" s="31" t="str">
        <x:v>Split from existing exposure change</x:v>
      </x:c>
      <x:c r="E75" s="31" t="str">
        <x:v>LOW</x:v>
      </x:c>
      <x:c r="F75" s="31" t="str">
        <x:v>Context only</x:v>
      </x:c>
      <x:c r="G75" s="31" t="str">
        <x:v>NO</x:v>
      </x:c>
      <x:c r="H75" s="31" t="str">
        <x:v>—</x:v>
      </x:c>
      <x:c r="I75" s="31" t="str">
        <x:v>Reduces exposure; useful evidence but not an alert.</x:v>
      </x:c>
      <x:c r="J75" s="31" t="str">
        <x:v>No alert.</x:v>
      </x:c>
      <x:c r="K75" s="31" t="str">
        <x:v>repository visibility changed to private</x:v>
      </x:c>
      <x:c r="L75" s="31" t="str">
        <x:v>HIGH</x:v>
      </x:c>
      <x:c r="M75" s="31" t="str">
        <x:v>Accept</x:v>
      </x:c>
      <x:c r="N75" s="31" t="str"/>
      <x:c r="O75" s="31" t="str"/>
    </x:row>
    <x:row r="76">
      <x:c r="A76" s="31" t="str">
        <x:v>RS-004</x:v>
      </x:c>
      <x:c r="B76" s="31" t="str">
        <x:v>REPOSITORY_SECURITY_POSTURE</x:v>
      </x:c>
      <x:c r="C76" s="31" t="str">
        <x:v>REPOSITORY_TRANSFERRED_OUT</x:v>
      </x:c>
      <x:c r="D76" s="31" t="str">
        <x:v>Add</x:v>
      </x:c>
      <x:c r="E76" s="31" t="str">
        <x:v>CRITICAL</x:v>
      </x:c>
      <x:c r="F76" s="31" t="str">
        <x:v>Main queue</x:v>
      </x:c>
      <x:c r="G76" s="31" t="str">
        <x:v>YES</x:v>
      </x:c>
      <x:c r="H76" s="31" t="str">
        <x:v>Transfer leaves managed enterprise or approved organization</x:v>
      </x:c>
      <x:c r="I76" s="31" t="str">
        <x:v>Can move code and control ownership outside the governed boundary.</x:v>
      </x:c>
      <x:c r="J76" s="31" t="str">
        <x:v>No generic suppression.</x:v>
      </x:c>
      <x:c r="K76" s="31" t="str">
        <x:v>Repository transferred to another owner/org</x:v>
      </x:c>
      <x:c r="L76" s="31" t="str">
        <x:v>MEDIUM</x:v>
      </x:c>
      <x:c r="M76" s="31" t="str">
        <x:v>Accept</x:v>
      </x:c>
      <x:c r="N76" s="31" t="str"/>
      <x:c r="O76" s="31" t="str"/>
    </x:row>
    <x:row r="77">
      <x:c r="A77" s="31" t="str">
        <x:v>RS-005</x:v>
      </x:c>
      <x:c r="B77" s="31" t="str">
        <x:v>REPOSITORY_SECURITY_POSTURE</x:v>
      </x:c>
      <x:c r="C77" s="31" t="str">
        <x:v>REPOSITORY_TRANSFERRED_IN</x:v>
      </x:c>
      <x:c r="D77" s="31" t="str">
        <x:v>Add</x:v>
      </x:c>
      <x:c r="E77" s="31" t="str">
        <x:v>MEDIUM</x:v>
      </x:c>
      <x:c r="F77" s="31" t="str">
        <x:v>Context only</x:v>
      </x:c>
      <x:c r="G77" s="31" t="str">
        <x:v>NO</x:v>
      </x:c>
      <x:c r="H77" s="31" t="str">
        <x:v>—</x:v>
      </x:c>
      <x:c r="I77" s="31" t="str">
        <x:v>Newly governed repository requires onboarding checks but is not urgent by itself.</x:v>
      </x:c>
      <x:c r="J77" s="31" t="str">
        <x:v>No alert.</x:v>
      </x:c>
      <x:c r="K77" s="31" t="str">
        <x:v>Repository transferred into organization</x:v>
      </x:c>
      <x:c r="L77" s="31" t="str">
        <x:v>MEDIUM</x:v>
      </x:c>
      <x:c r="M77" s="31" t="str">
        <x:v>Accept</x:v>
      </x:c>
      <x:c r="N77" s="31" t="str"/>
      <x:c r="O77" s="31" t="str"/>
    </x:row>
    <x:row r="78">
      <x:c r="A78" s="31" t="str">
        <x:v>RS-006</x:v>
      </x:c>
      <x:c r="B78" s="31" t="str">
        <x:v>REPOSITORY_SECURITY_POSTURE</x:v>
      </x:c>
      <x:c r="C78" s="31" t="str">
        <x:v>REPOSITORY_DELETED</x:v>
      </x:c>
      <x:c r="D78" s="31" t="str">
        <x:v>Add</x:v>
      </x:c>
      <x:c r="E78" s="31" t="str">
        <x:v>HIGH</x:v>
      </x:c>
      <x:c r="F78" s="31" t="str">
        <x:v>Main queue</x:v>
      </x:c>
      <x:c r="G78" s="31" t="str">
        <x:v>YES</x:v>
      </x:c>
      <x:c r="H78" s="31" t="str">
        <x:v>Escalate to CRITICAL for critical/production repository or no recent backup</x:v>
      </x:c>
      <x:c r="I78" s="31" t="str">
        <x:v>Deletion can remove code, issues, settings, and evidence.</x:v>
      </x:c>
      <x:c r="J78" s="31" t="str">
        <x:v>Approved decommission can be downgraded to MEDIUM.</x:v>
      </x:c>
      <x:c r="K78" s="31" t="str">
        <x:v>Repository deleted</x:v>
      </x:c>
      <x:c r="L78" s="31" t="str">
        <x:v>MEDIUM</x:v>
      </x:c>
      <x:c r="M78" s="31" t="str">
        <x:v>Accept</x:v>
      </x:c>
      <x:c r="N78" s="31" t="str"/>
      <x:c r="O78" s="31" t="str"/>
    </x:row>
    <x:row r="79">
      <x:c r="A79" s="31" t="str">
        <x:v>RS-007</x:v>
      </x:c>
      <x:c r="B79" s="31" t="str">
        <x:v>REPOSITORY_SECURITY_POSTURE</x:v>
      </x:c>
      <x:c r="C79" s="31" t="str">
        <x:v>REPOSITORY_ARCHIVED</x:v>
      </x:c>
      <x:c r="D79" s="31" t="str">
        <x:v>Add</x:v>
      </x:c>
      <x:c r="E79" s="31" t="str">
        <x:v>MEDIUM</x:v>
      </x:c>
      <x:c r="F79" s="31" t="str">
        <x:v>Context only</x:v>
      </x:c>
      <x:c r="G79" s="31" t="str">
        <x:v>CONDITIONAL</x:v>
      </x:c>
      <x:c r="H79" s="31" t="str">
        <x:v>Escalate to HIGH for active production repository</x:v>
      </x:c>
      <x:c r="I79" s="31" t="str">
        <x:v>Archiving makes a repository read-only and can disrupt operations.</x:v>
      </x:c>
      <x:c r="J79" s="31" t="str">
        <x:v>Approved decommission can be LOW.</x:v>
      </x:c>
      <x:c r="K79" s="31" t="str">
        <x:v>Repository archived</x:v>
      </x:c>
      <x:c r="L79" s="31" t="str">
        <x:v>MEDIUM</x:v>
      </x:c>
      <x:c r="M79" s="31" t="str">
        <x:v>Accept</x:v>
      </x:c>
      <x:c r="N79" s="31" t="str"/>
      <x:c r="O79" s="31" t="str"/>
    </x:row>
    <x:row r="80">
      <x:c r="A80" s="31" t="str">
        <x:v>RS-008</x:v>
      </x:c>
      <x:c r="B80" s="31" t="str">
        <x:v>REPOSITORY_SECURITY_POSTURE</x:v>
      </x:c>
      <x:c r="C80" s="31" t="str">
        <x:v>REPOSITORY_UNARCHIVED</x:v>
      </x:c>
      <x:c r="D80" s="31" t="str">
        <x:v>Add</x:v>
      </x:c>
      <x:c r="E80" s="31" t="str">
        <x:v>LOW</x:v>
      </x:c>
      <x:c r="F80" s="31" t="str">
        <x:v>Context only</x:v>
      </x:c>
      <x:c r="G80" s="31" t="str">
        <x:v>NO</x:v>
      </x:c>
      <x:c r="H80" s="31" t="str">
        <x:v>—</x:v>
      </x:c>
      <x:c r="I80" s="31" t="str">
        <x:v>Operationally useful but not a risk event by itself.</x:v>
      </x:c>
      <x:c r="J80" s="31" t="str">
        <x:v>No alert.</x:v>
      </x:c>
      <x:c r="K80" s="31" t="str">
        <x:v>Repository unarchived</x:v>
      </x:c>
      <x:c r="L80" s="31" t="str">
        <x:v>MEDIUM</x:v>
      </x:c>
      <x:c r="M80" s="31" t="str">
        <x:v>Accept</x:v>
      </x:c>
      <x:c r="N80" s="31" t="str"/>
      <x:c r="O80" s="31" t="str"/>
    </x:row>
    <x:row r="81">
      <x:c r="A81" s="31" t="str">
        <x:v>RS-009</x:v>
      </x:c>
      <x:c r="B81" s="31" t="str">
        <x:v>REPOSITORY_SECURITY_POSTURE</x:v>
      </x:c>
      <x:c r="C81" s="31" t="str">
        <x:v>DEFAULT_BRANCH_CHANGED</x:v>
      </x:c>
      <x:c r="D81" s="31" t="str">
        <x:v>Add</x:v>
      </x:c>
      <x:c r="E81" s="31" t="str">
        <x:v>MEDIUM</x:v>
      </x:c>
      <x:c r="F81" s="31" t="str">
        <x:v>Context only</x:v>
      </x:c>
      <x:c r="G81" s="31" t="str">
        <x:v>CONDITIONAL</x:v>
      </x:c>
      <x:c r="H81" s="31" t="str">
        <x:v>Escalate to HIGH when protections do not exist on new default branch</x:v>
      </x:c>
      <x:c r="I81" s="31" t="str">
        <x:v>May move the primary development path away from established controls.</x:v>
      </x:c>
      <x:c r="J81" s="31" t="str">
        <x:v>Alert only after protection-state enrichment.</x:v>
      </x:c>
      <x:c r="K81" s="31" t="str">
        <x:v>Default branch changed</x:v>
      </x:c>
      <x:c r="L81" s="31" t="str">
        <x:v>MEDIUM</x:v>
      </x:c>
      <x:c r="M81" s="31" t="str">
        <x:v>Discuss</x:v>
      </x:c>
      <x:c r="N81" s="31" t="str"/>
      <x:c r="O81" s="31" t="str"/>
    </x:row>
    <x:row r="82">
      <x:c r="A82" s="31" t="str">
        <x:v>RS-010</x:v>
      </x:c>
      <x:c r="B82" s="31" t="str">
        <x:v>REPOSITORY_SECURITY_POSTURE</x:v>
      </x:c>
      <x:c r="C82" s="31" t="str">
        <x:v>REPOSITORY_FORKING_ENABLED</x:v>
      </x:c>
      <x:c r="D82" s="31" t="str">
        <x:v>Add</x:v>
      </x:c>
      <x:c r="E82" s="31" t="str">
        <x:v>HIGH</x:v>
      </x:c>
      <x:c r="F82" s="31" t="str">
        <x:v>Main queue</x:v>
      </x:c>
      <x:c r="G82" s="31" t="str">
        <x:v>YES</x:v>
      </x:c>
      <x:c r="H82" s="31" t="str">
        <x:v>Private/internal repository in restricted environment</x:v>
      </x:c>
      <x:c r="I82" s="31" t="str">
        <x:v>Enabling forking can create additional code copies and access paths.</x:v>
      </x:c>
      <x:c r="J82" s="31" t="str">
        <x:v>Approved collaboration change can be downgraded.</x:v>
      </x:c>
      <x:c r="K82" s="31" t="str">
        <x:v>Repository forking policy enabled/broadened</x:v>
      </x:c>
      <x:c r="L82" s="31" t="str">
        <x:v>LOW</x:v>
      </x:c>
      <x:c r="M82" s="31" t="str">
        <x:v>Discuss</x:v>
      </x:c>
      <x:c r="N82" s="31" t="str"/>
      <x:c r="O82" s="31" t="str"/>
    </x:row>
    <x:row r="83">
      <x:c r="A83" s="31" t="str">
        <x:v>WA-001</x:v>
      </x:c>
      <x:c r="B83" s="31" t="str">
        <x:v>WORKFLOW_AND_AUTOMATION_GOVERNANCE</x:v>
      </x:c>
      <x:c r="C83" s="31" t="str">
        <x:v>WORKFLOW_PERMISSIONS_ELEVATED</x:v>
      </x:c>
      <x:c r="D83" s="31" t="str">
        <x:v>Add / split generic workflow event</x:v>
      </x:c>
      <x:c r="E83" s="31" t="str">
        <x:v>HIGH</x:v>
      </x:c>
      <x:c r="F83" s="31" t="str">
        <x:v>Main queue</x:v>
      </x:c>
      <x:c r="G83" s="31" t="str">
        <x:v>YES</x:v>
      </x:c>
      <x:c r="H83" s="31" t="str">
        <x:v>Default token changes from read to write or broad permissions added</x:v>
      </x:c>
      <x:c r="I83" s="31" t="str">
        <x:v>Elevated workflow token permissions increase automation blast radius.</x:v>
      </x:c>
      <x:c r="J83" s="31" t="str">
        <x:v>No generic suppression.</x:v>
      </x:c>
      <x:c r="K83" s="31" t="str">
        <x:v>Workflow/GITHUB_TOKEN permissions elevated</x:v>
      </x:c>
      <x:c r="L83" s="31" t="str">
        <x:v>MEDIUM</x:v>
      </x:c>
      <x:c r="M83" s="31" t="str">
        <x:v>Accept</x:v>
      </x:c>
      <x:c r="N83" s="31" t="str"/>
      <x:c r="O83" s="31" t="str"/>
    </x:row>
    <x:row r="84">
      <x:c r="A84" s="31" t="str">
        <x:v>WA-002</x:v>
      </x:c>
      <x:c r="B84" s="31" t="str">
        <x:v>WORKFLOW_AND_AUTOMATION_GOVERNANCE</x:v>
      </x:c>
      <x:c r="C84" s="31" t="str">
        <x:v>ACTIONS_ALLOWED_POLICY_LOOSENED</x:v>
      </x:c>
      <x:c r="D84" s="31" t="str">
        <x:v>Add</x:v>
      </x:c>
      <x:c r="E84" s="31" t="str">
        <x:v>HIGH</x:v>
      </x:c>
      <x:c r="F84" s="31" t="str">
        <x:v>Main queue</x:v>
      </x:c>
      <x:c r="G84" s="31" t="str">
        <x:v>YES</x:v>
      </x:c>
      <x:c r="H84" s="31" t="str">
        <x:v>Allowed actions broaden from approved list to all</x:v>
      </x:c>
      <x:c r="I84" s="31" t="str">
        <x:v>Allows workflows to execute less-governed third-party code.</x:v>
      </x:c>
      <x:c r="J84" s="31" t="str">
        <x:v>Approved standard change can be MEDIUM.</x:v>
      </x:c>
      <x:c r="K84" s="31" t="str">
        <x:v>Actions allow-list or policy broadened</x:v>
      </x:c>
      <x:c r="L84" s="31" t="str">
        <x:v>MEDIUM</x:v>
      </x:c>
      <x:c r="M84" s="31" t="str">
        <x:v>Accept</x:v>
      </x:c>
      <x:c r="N84" s="31" t="str"/>
      <x:c r="O84" s="31" t="str"/>
    </x:row>
    <x:row r="85">
      <x:c r="A85" s="31" t="str">
        <x:v>WA-003</x:v>
      </x:c>
      <x:c r="B85" s="31" t="str">
        <x:v>WORKFLOW_AND_AUTOMATION_GOVERNANCE</x:v>
      </x:c>
      <x:c r="C85" s="31" t="str">
        <x:v>ACTIONS_DISABLED</x:v>
      </x:c>
      <x:c r="D85" s="31" t="str">
        <x:v>Add</x:v>
      </x:c>
      <x:c r="E85" s="31" t="str">
        <x:v>HIGH</x:v>
      </x:c>
      <x:c r="F85" s="31" t="str">
        <x:v>Main queue</x:v>
      </x:c>
      <x:c r="G85" s="31" t="str">
        <x:v>YES</x:v>
      </x:c>
      <x:c r="H85" s="31" t="str">
        <x:v>Production/platform repository or organization-wide</x:v>
      </x:c>
      <x:c r="I85" s="31" t="str">
        <x:v>Disabling Actions can stop CI/CD, policy checks, and operational automation.</x:v>
      </x:c>
      <x:c r="J85" s="31" t="str">
        <x:v>Approved outage/maintenance suppression only.</x:v>
      </x:c>
      <x:c r="K85" s="31" t="str">
        <x:v>GitHub Actions disabled</x:v>
      </x:c>
      <x:c r="L85" s="31" t="str">
        <x:v>MEDIUM</x:v>
      </x:c>
      <x:c r="M85" s="31" t="str">
        <x:v>Accept</x:v>
      </x:c>
      <x:c r="N85" s="31" t="str"/>
      <x:c r="O85" s="31" t="str"/>
    </x:row>
    <x:row r="86">
      <x:c r="A86" s="31" t="str">
        <x:v>WA-004</x:v>
      </x:c>
      <x:c r="B86" s="31" t="str">
        <x:v>WORKFLOW_AND_AUTOMATION_GOVERNANCE</x:v>
      </x:c>
      <x:c r="C86" s="31" t="str">
        <x:v>SELF_HOSTED_RUNNER_POLICY_CHANGED</x:v>
      </x:c>
      <x:c r="D86" s="31" t="str">
        <x:v>Add</x:v>
      </x:c>
      <x:c r="E86" s="31" t="str">
        <x:v>HIGH</x:v>
      </x:c>
      <x:c r="F86" s="31" t="str">
        <x:v>Main queue</x:v>
      </x:c>
      <x:c r="G86" s="31" t="str">
        <x:v>YES</x:v>
      </x:c>
      <x:c r="H86" s="31" t="str">
        <x:v>Enterprise/org policy affects runner usage or access</x:v>
      </x:c>
      <x:c r="I86" s="31" t="str">
        <x:v>Can prevent repositories from using required runners or broaden runner usage unexpectedly.</x:v>
      </x:c>
      <x:c r="J86" s="31" t="str">
        <x:v>Require platform-team approval.</x:v>
      </x:c>
      <x:c r="K86" s="31" t="str">
        <x:v>Self-hosted runner policy or allowed groups changed</x:v>
      </x:c>
      <x:c r="L86" s="31" t="str">
        <x:v>LOW</x:v>
      </x:c>
      <x:c r="M86" s="31" t="str">
        <x:v>Accept</x:v>
      </x:c>
      <x:c r="N86" s="31" t="str"/>
      <x:c r="O86" s="31" t="str"/>
    </x:row>
    <x:row r="87">
      <x:c r="A87" s="31" t="str">
        <x:v>WA-005</x:v>
      </x:c>
      <x:c r="B87" s="31" t="str">
        <x:v>WORKFLOW_AND_AUTOMATION_GOVERNANCE</x:v>
      </x:c>
      <x:c r="C87" s="31" t="str">
        <x:v>RUNNER_GROUP_DELETED</x:v>
      </x:c>
      <x:c r="D87" s="31" t="str">
        <x:v>Add</x:v>
      </x:c>
      <x:c r="E87" s="31" t="str">
        <x:v>HIGH</x:v>
      </x:c>
      <x:c r="F87" s="31" t="str">
        <x:v>Main queue</x:v>
      </x:c>
      <x:c r="G87" s="31" t="str">
        <x:v>YES</x:v>
      </x:c>
      <x:c r="H87" s="31" t="str">
        <x:v>Escalate to CRITICAL for active production group</x:v>
      </x:c>
      <x:c r="I87" s="31" t="str">
        <x:v>Deletes a shared execution capability and may strand workflows.</x:v>
      </x:c>
      <x:c r="J87" s="31" t="str">
        <x:v>Suppress only for completed migration/decommission.</x:v>
      </x:c>
      <x:c r="K87" s="31" t="str">
        <x:v>Runner group deleted</x:v>
      </x:c>
      <x:c r="L87" s="31" t="str">
        <x:v>MEDIUM</x:v>
      </x:c>
      <x:c r="M87" s="31" t="str">
        <x:v>Accept</x:v>
      </x:c>
      <x:c r="N87" s="31" t="str"/>
      <x:c r="O87" s="31" t="str"/>
    </x:row>
    <x:row r="88">
      <x:c r="A88" s="31" t="str">
        <x:v>WA-006</x:v>
      </x:c>
      <x:c r="B88" s="31" t="str">
        <x:v>WORKFLOW_AND_AUTOMATION_GOVERNANCE</x:v>
      </x:c>
      <x:c r="C88" s="31" t="str">
        <x:v>RUNNER_GROUP_ACCESS_REMOVED</x:v>
      </x:c>
      <x:c r="D88" s="31" t="str">
        <x:v>Add</x:v>
      </x:c>
      <x:c r="E88" s="31" t="str">
        <x:v>HIGH</x:v>
      </x:c>
      <x:c r="F88" s="31" t="str">
        <x:v>Main queue</x:v>
      </x:c>
      <x:c r="G88" s="31" t="str">
        <x:v>YES</x:v>
      </x:c>
      <x:c r="H88" s="31" t="str">
        <x:v>Production organization or all selected access removed</x:v>
      </x:c>
      <x:c r="I88" s="31" t="str">
        <x:v>Can immediately prevent job scheduling onto a runner group.</x:v>
      </x:c>
      <x:c r="J88" s="31" t="str">
        <x:v>Approved migration can be downgraded.</x:v>
      </x:c>
      <x:c r="K88" s="31" t="str">
        <x:v>Runner group org/repo access removed</x:v>
      </x:c>
      <x:c r="L88" s="31" t="str">
        <x:v>MEDIUM</x:v>
      </x:c>
      <x:c r="M88" s="31" t="str">
        <x:v>Accept</x:v>
      </x:c>
      <x:c r="N88" s="31" t="str"/>
      <x:c r="O88" s="31" t="str"/>
    </x:row>
    <x:row r="89">
      <x:c r="A89" s="31" t="str">
        <x:v>WA-007</x:v>
      </x:c>
      <x:c r="B89" s="31" t="str">
        <x:v>WORKFLOW_AND_AUTOMATION_GOVERNANCE</x:v>
      </x:c>
      <x:c r="C89" s="31" t="str">
        <x:v>RUNNER_GROUP_ACCESS_EXPANDED</x:v>
      </x:c>
      <x:c r="D89" s="31" t="str">
        <x:v>Add</x:v>
      </x:c>
      <x:c r="E89" s="31" t="str">
        <x:v>MEDIUM</x:v>
      </x:c>
      <x:c r="F89" s="31" t="str">
        <x:v>Context only</x:v>
      </x:c>
      <x:c r="G89" s="31" t="str">
        <x:v>CONDITIONAL</x:v>
      </x:c>
      <x:c r="H89" s="31" t="str">
        <x:v>Escalate to HIGH when broadened to all organizations or sensitive org</x:v>
      </x:c>
      <x:c r="I89" s="31" t="str">
        <x:v>Expands the consumers and potential blast radius of shared runners.</x:v>
      </x:c>
      <x:c r="J89" s="31" t="str">
        <x:v>Approved onboarding can be LOW.</x:v>
      </x:c>
      <x:c r="K89" s="31" t="str">
        <x:v>Runner group access expanded</x:v>
      </x:c>
      <x:c r="L89" s="31" t="str">
        <x:v>MEDIUM</x:v>
      </x:c>
      <x:c r="M89" s="31" t="str">
        <x:v>Accept</x:v>
      </x:c>
      <x:c r="N89" s="31" t="str"/>
      <x:c r="O89" s="31" t="str"/>
    </x:row>
    <x:row r="90">
      <x:c r="A90" s="31" t="str">
        <x:v>WA-008</x:v>
      </x:c>
      <x:c r="B90" s="31" t="str">
        <x:v>WORKFLOW_AND_AUTOMATION_GOVERNANCE</x:v>
      </x:c>
      <x:c r="C90" s="31" t="str">
        <x:v>RUNNER_REGISTRATION_TOKEN_CREATED</x:v>
      </x:c>
      <x:c r="D90" s="31" t="str">
        <x:v>Add</x:v>
      </x:c>
      <x:c r="E90" s="31" t="str">
        <x:v>LOW</x:v>
      </x:c>
      <x:c r="F90" s="31" t="str">
        <x:v>Hidden by default</x:v>
      </x:c>
      <x:c r="G90" s="31" t="str">
        <x:v>CONDITIONAL</x:v>
      </x:c>
      <x:c r="H90" s="31" t="str">
        <x:v>Escalate to MEDIUM for unusual actor or excessive volume</x:v>
      </x:c>
      <x:c r="I90" s="31" t="str">
        <x:v>Usually expected operational activity; raw token is short-lived.</x:v>
      </x:c>
      <x:c r="J90" s="31" t="str">
        <x:v>Alert only on anomaly, not each event.</x:v>
      </x:c>
      <x:c r="K90" s="31" t="str">
        <x:v>Runner registration token created</x:v>
      </x:c>
      <x:c r="L90" s="31" t="str">
        <x:v>LOW</x:v>
      </x:c>
      <x:c r="M90" s="31" t="str">
        <x:v>Accept</x:v>
      </x:c>
      <x:c r="N90" s="31" t="str"/>
      <x:c r="O90" s="31" t="str"/>
    </x:row>
    <x:row r="91">
      <x:c r="A91" s="31" t="str">
        <x:v>WA-009</x:v>
      </x:c>
      <x:c r="B91" s="31" t="str">
        <x:v>WORKFLOW_AND_AUTOMATION_GOVERNANCE</x:v>
      </x:c>
      <x:c r="C91" s="31" t="str">
        <x:v>ACTIONS_SECRET_DELETED</x:v>
      </x:c>
      <x:c r="D91" s="31" t="str">
        <x:v>Add</x:v>
      </x:c>
      <x:c r="E91" s="31" t="str">
        <x:v>HIGH</x:v>
      </x:c>
      <x:c r="F91" s="31" t="str">
        <x:v>Main queue</x:v>
      </x:c>
      <x:c r="G91" s="31" t="str">
        <x:v>CONDITIONAL</x:v>
      </x:c>
      <x:c r="H91" s="31" t="str">
        <x:v>Alert for production, deployment, runner, or security secret</x:v>
      </x:c>
      <x:c r="I91" s="31" t="str">
        <x:v>Deleting a required secret can break deployment or authentication.</x:v>
      </x:c>
      <x:c r="J91" s="31" t="str">
        <x:v>Approved rotation requires replacement evidence.</x:v>
      </x:c>
      <x:c r="K91" s="31" t="str">
        <x:v>Actions secret deleted</x:v>
      </x:c>
      <x:c r="L91" s="31" t="str">
        <x:v>MEDIUM</x:v>
      </x:c>
      <x:c r="M91" s="31" t="str">
        <x:v>Accept</x:v>
      </x:c>
      <x:c r="N91" s="31" t="str"/>
      <x:c r="O91" s="31" t="str"/>
    </x:row>
    <x:row r="92">
      <x:c r="A92" s="31" t="str">
        <x:v>WA-010</x:v>
      </x:c>
      <x:c r="B92" s="31" t="str">
        <x:v>WORKFLOW_AND_AUTOMATION_GOVERNANCE</x:v>
      </x:c>
      <x:c r="C92" s="31" t="str">
        <x:v>ACTIONS_SECRET_CREATED_OR_UPDATED</x:v>
      </x:c>
      <x:c r="D92" s="31" t="str">
        <x:v>Add</x:v>
      </x:c>
      <x:c r="E92" s="31" t="str">
        <x:v>MEDIUM</x:v>
      </x:c>
      <x:c r="F92" s="31" t="str">
        <x:v>Context only</x:v>
      </x:c>
      <x:c r="G92" s="31" t="str">
        <x:v>CONDITIONAL</x:v>
      </x:c>
      <x:c r="H92" s="31" t="str">
        <x:v>Escalate to HIGH for broad visibility or critical secret</x:v>
      </x:c>
      <x:c r="I92" s="31" t="str">
        <x:v>Secret changes are important evidence but common in normal operations.</x:v>
      </x:c>
      <x:c r="J92" s="31" t="str">
        <x:v>Approved rotation can be LOW.</x:v>
      </x:c>
      <x:c r="K92" s="31" t="str">
        <x:v>Repository/org/environment Actions secret created/updated</x:v>
      </x:c>
      <x:c r="L92" s="31" t="str">
        <x:v>MEDIUM</x:v>
      </x:c>
      <x:c r="M92" s="31" t="str">
        <x:v>Accept</x:v>
      </x:c>
      <x:c r="N92" s="31" t="str"/>
      <x:c r="O92" s="31" t="str"/>
    </x:row>
    <x:row r="93">
      <x:c r="A93" s="31" t="str">
        <x:v>WA-011</x:v>
      </x:c>
      <x:c r="B93" s="31" t="str">
        <x:v>WORKFLOW_AND_AUTOMATION_GOVERNANCE</x:v>
      </x:c>
      <x:c r="C93" s="31" t="str">
        <x:v>ORG_SECRET_VISIBILITY_EXPANDED</x:v>
      </x:c>
      <x:c r="D93" s="31" t="str">
        <x:v>Add</x:v>
      </x:c>
      <x:c r="E93" s="31" t="str">
        <x:v>HIGH</x:v>
      </x:c>
      <x:c r="F93" s="31" t="str">
        <x:v>Main queue</x:v>
      </x:c>
      <x:c r="G93" s="31" t="str">
        <x:v>YES</x:v>
      </x:c>
      <x:c r="H93" s="31" t="str">
        <x:v>Visibility broadened to all or additional repositories</x:v>
      </x:c>
      <x:c r="I93" s="31" t="str">
        <x:v>More repositories gain access to a shared credential.</x:v>
      </x:c>
      <x:c r="J93" s="31" t="str">
        <x:v>Require explicit owner and scope justification.</x:v>
      </x:c>
      <x:c r="K93" s="31" t="str">
        <x:v>Organization secret selected-repository visibility expanded</x:v>
      </x:c>
      <x:c r="L93" s="31" t="str">
        <x:v>LOW</x:v>
      </x:c>
      <x:c r="M93" s="31" t="str">
        <x:v>Accept</x:v>
      </x:c>
      <x:c r="N93" s="31" t="str"/>
      <x:c r="O93" s="31" t="str"/>
    </x:row>
    <x:row r="94">
      <x:c r="A94" s="31" t="str">
        <x:v>WA-012</x:v>
      </x:c>
      <x:c r="B94" s="31" t="str">
        <x:v>WORKFLOW_AND_AUTOMATION_GOVERNANCE</x:v>
      </x:c>
      <x:c r="C94" s="31" t="str">
        <x:v>OIDC_SUBJECT_CLAIM_POLICY_CHANGED</x:v>
      </x:c>
      <x:c r="D94" s="31" t="str">
        <x:v>Add</x:v>
      </x:c>
      <x:c r="E94" s="31" t="str">
        <x:v>HIGH</x:v>
      </x:c>
      <x:c r="F94" s="31" t="str">
        <x:v>Main queue</x:v>
      </x:c>
      <x:c r="G94" s="31" t="str">
        <x:v>YES</x:v>
      </x:c>
      <x:c r="H94" s="31" t="str">
        <x:v>Trust policy broadened or claim restrictions removed</x:v>
      </x:c>
      <x:c r="I94" s="31" t="str">
        <x:v>Can let more workflows exchange tokens for cloud credentials.</x:v>
      </x:c>
      <x:c r="J94" s="31" t="str">
        <x:v>No generic suppression.</x:v>
      </x:c>
      <x:c r="K94" s="31" t="str">
        <x:v>OIDC subject/custom claim policy changed</x:v>
      </x:c>
      <x:c r="L94" s="31" t="str">
        <x:v>LOW</x:v>
      </x:c>
      <x:c r="M94" s="31" t="str">
        <x:v>Accept</x:v>
      </x:c>
      <x:c r="N94" s="31" t="str"/>
      <x:c r="O94" s="31" t="str"/>
    </x:row>
    <x:row r="95">
      <x:c r="A95" s="31" t="str">
        <x:v>WA-013</x:v>
      </x:c>
      <x:c r="B95" s="31" t="str">
        <x:v>WORKFLOW_AND_AUTOMATION_GOVERNANCE</x:v>
      </x:c>
      <x:c r="C95" s="31" t="str">
        <x:v>FORK_PR_WORKFLOW_APPROVAL_WEAKENED</x:v>
      </x:c>
      <x:c r="D95" s="31" t="str">
        <x:v>Add</x:v>
      </x:c>
      <x:c r="E95" s="31" t="str">
        <x:v>HIGH</x:v>
      </x:c>
      <x:c r="F95" s="31" t="str">
        <x:v>Main queue</x:v>
      </x:c>
      <x:c r="G95" s="31" t="str">
        <x:v>YES</x:v>
      </x:c>
      <x:c r="H95" s="31" t="str">
        <x:v>Approval requirement removed or automatic execution enabled</x:v>
      </x:c>
      <x:c r="I95" s="31" t="str">
        <x:v>Untrusted fork code may run with repository context or resources.</x:v>
      </x:c>
      <x:c r="J95" s="31" t="str">
        <x:v>No generic suppression.</x:v>
      </x:c>
      <x:c r="K95" s="31" t="str">
        <x:v>Fork pull-request workflow approval policy weakened</x:v>
      </x:c>
      <x:c r="L95" s="31" t="str">
        <x:v>LOW</x:v>
      </x:c>
      <x:c r="M95" s="31" t="str">
        <x:v>Accept</x:v>
      </x:c>
      <x:c r="N95" s="31" t="str"/>
      <x:c r="O95" s="31" t="str"/>
    </x:row>
    <x:row r="96">
      <x:c r="A96" s="31" t="str">
        <x:v>WA-014</x:v>
      </x:c>
      <x:c r="B96" s="31" t="str">
        <x:v>WORKFLOW_AND_AUTOMATION_GOVERNANCE</x:v>
      </x:c>
      <x:c r="C96" s="31" t="str">
        <x:v>DEFAULT_WORKFLOW_TOKEN_WRITE_ENABLED</x:v>
      </x:c>
      <x:c r="D96" s="31" t="str">
        <x:v>Add</x:v>
      </x:c>
      <x:c r="E96" s="31" t="str">
        <x:v>HIGH</x:v>
      </x:c>
      <x:c r="F96" s="31" t="str">
        <x:v>Main queue</x:v>
      </x:c>
      <x:c r="G96" s="31" t="str">
        <x:v>YES</x:v>
      </x:c>
      <x:c r="H96" s="31" t="str">
        <x:v>Organization or critical repository</x:v>
      </x:c>
      <x:c r="I96" s="31" t="str">
        <x:v>Broad write permissions increase the impact of workflow compromise.</x:v>
      </x:c>
      <x:c r="J96" s="31" t="str">
        <x:v>No generic suppression.</x:v>
      </x:c>
      <x:c r="K96" s="31" t="str">
        <x:v>Default workflow permissions changed to read/write</x:v>
      </x:c>
      <x:c r="L96" s="31" t="str">
        <x:v>MEDIUM</x:v>
      </x:c>
      <x:c r="M96" s="31" t="str">
        <x:v>Accept</x:v>
      </x:c>
      <x:c r="N96" s="31" t="str"/>
      <x:c r="O96" s="31" t="str"/>
    </x:row>
    <x:row r="97">
      <x:c r="A97" s="31" t="str">
        <x:v>AE-001</x:v>
      </x:c>
      <x:c r="B97" s="31" t="str">
        <x:v>AUDIT_AND_EVIDENCE_INTEGRITY</x:v>
      </x:c>
      <x:c r="C97" s="31" t="str">
        <x:v>AUDIT_LOG_STREAMING_DISABLED</x:v>
      </x:c>
      <x:c r="D97" s="31" t="str">
        <x:v>Add / split generic audit event</x:v>
      </x:c>
      <x:c r="E97" s="31" t="str">
        <x:v>CRITICAL</x:v>
      </x:c>
      <x:c r="F97" s="31" t="str">
        <x:v>Main queue</x:v>
      </x:c>
      <x:c r="G97" s="31" t="str">
        <x:v>YES</x:v>
      </x:c>
      <x:c r="H97" s="31" t="str">
        <x:v>Always</x:v>
      </x:c>
      <x:c r="I97" s="31" t="str">
        <x:v>Disables the evidence feed used for governance and investigation.</x:v>
      </x:c>
      <x:c r="J97" s="31" t="str">
        <x:v>No generic suppression.</x:v>
      </x:c>
      <x:c r="K97" s="31" t="str">
        <x:v>Audit log streaming/export disabled</x:v>
      </x:c>
      <x:c r="L97" s="31" t="str">
        <x:v>MEDIUM</x:v>
      </x:c>
      <x:c r="M97" s="31" t="str">
        <x:v>Accept</x:v>
      </x:c>
      <x:c r="N97" s="31" t="str"/>
      <x:c r="O97" s="31" t="str"/>
    </x:row>
    <x:row r="98">
      <x:c r="A98" s="31" t="str">
        <x:v>AE-002</x:v>
      </x:c>
      <x:c r="B98" s="31" t="str">
        <x:v>AUDIT_AND_EVIDENCE_INTEGRITY</x:v>
      </x:c>
      <x:c r="C98" s="31" t="str">
        <x:v>AUDIT_LOG_DESTINATION_CHANGED</x:v>
      </x:c>
      <x:c r="D98" s="31" t="str">
        <x:v>Add</x:v>
      </x:c>
      <x:c r="E98" s="31" t="str">
        <x:v>HIGH</x:v>
      </x:c>
      <x:c r="F98" s="31" t="str">
        <x:v>Main queue</x:v>
      </x:c>
      <x:c r="G98" s="31" t="str">
        <x:v>YES</x:v>
      </x:c>
      <x:c r="H98" s="31" t="str">
        <x:v>Destination, credentials, or scope changes</x:v>
      </x:c>
      <x:c r="I98" s="31" t="str">
        <x:v>Can redirect, reduce, or interrupt evidence collection.</x:v>
      </x:c>
      <x:c r="J98" s="31" t="str">
        <x:v>Approved migration can be downgraded with parallel-run proof.</x:v>
      </x:c>
      <x:c r="K98" s="31" t="str">
        <x:v>Audit log streaming destination/configuration changed</x:v>
      </x:c>
      <x:c r="L98" s="31" t="str">
        <x:v>MEDIUM</x:v>
      </x:c>
      <x:c r="M98" s="31" t="str">
        <x:v>Accept</x:v>
      </x:c>
      <x:c r="N98" s="31" t="str"/>
      <x:c r="O98" s="31" t="str"/>
    </x:row>
    <x:row r="99">
      <x:c r="A99" s="31" t="str">
        <x:v>AE-003</x:v>
      </x:c>
      <x:c r="B99" s="31" t="str">
        <x:v>AUDIT_AND_EVIDENCE_INTEGRITY</x:v>
      </x:c>
      <x:c r="C99" s="31" t="str">
        <x:v>AUDIT_LOG_EXPORT_FAILURE</x:v>
      </x:c>
      <x:c r="D99" s="31" t="str">
        <x:v>Add</x:v>
      </x:c>
      <x:c r="E99" s="31" t="str">
        <x:v>HIGH</x:v>
      </x:c>
      <x:c r="F99" s="31" t="str">
        <x:v>Main queue</x:v>
      </x:c>
      <x:c r="G99" s="31" t="str">
        <x:v>YES</x:v>
      </x:c>
      <x:c r="H99" s="31" t="str">
        <x:v>Two or more consecutive failures or &gt;15-minute delay</x:v>
      </x:c>
      <x:c r="I99" s="31" t="str">
        <x:v>Creates an evidence gap and delays governance visibility.</x:v>
      </x:c>
      <x:c r="J99" s="31" t="str">
        <x:v>Suppress only during declared maintenance.</x:v>
      </x:c>
      <x:c r="K99" s="31" t="str">
        <x:v>Pipeline/stream delivery failure</x:v>
      </x:c>
      <x:c r="L99" s="31" t="str">
        <x:v>HIGH</x:v>
      </x:c>
      <x:c r="M99" s="31" t="str">
        <x:v>Accept</x:v>
      </x:c>
      <x:c r="N99" s="31" t="str"/>
      <x:c r="O99" s="31" t="str"/>
    </x:row>
    <x:row r="100">
      <x:c r="A100" s="31" t="str">
        <x:v>AE-004</x:v>
      </x:c>
      <x:c r="B100" s="31" t="str">
        <x:v>AUDIT_AND_EVIDENCE_INTEGRITY</x:v>
      </x:c>
      <x:c r="C100" s="31" t="str">
        <x:v>AUDIT_EVENT_GAP_DETECTED</x:v>
      </x:c>
      <x:c r="D100" s="31" t="str">
        <x:v>Add</x:v>
      </x:c>
      <x:c r="E100" s="31" t="str">
        <x:v>CRITICAL</x:v>
      </x:c>
      <x:c r="F100" s="31" t="str">
        <x:v>Main queue</x:v>
      </x:c>
      <x:c r="G100" s="31" t="str">
        <x:v>YES</x:v>
      </x:c>
      <x:c r="H100" s="31" t="str">
        <x:v>Always</x:v>
      </x:c>
      <x:c r="I100" s="31" t="str">
        <x:v>A confirmed event gap means governance conclusions may be incomplete.</x:v>
      </x:c>
      <x:c r="J100" s="31" t="str">
        <x:v>No suppression without documented source outage.</x:v>
      </x:c>
      <x:c r="K100" s="31" t="str">
        <x:v>Expected-versus-observed gap or missing source-file interval</x:v>
      </x:c>
      <x:c r="L100" s="31" t="str">
        <x:v>MEDIUM</x:v>
      </x:c>
      <x:c r="M100" s="31" t="str">
        <x:v>Accept</x:v>
      </x:c>
      <x:c r="N100" s="31" t="str"/>
      <x:c r="O100" s="31" t="str"/>
    </x:row>
    <x:row r="101">
      <x:c r="A101" s="31" t="str">
        <x:v>AE-005</x:v>
      </x:c>
      <x:c r="B101" s="31" t="str">
        <x:v>AUDIT_AND_EVIDENCE_INTEGRITY</x:v>
      </x:c>
      <x:c r="C101" s="31" t="str">
        <x:v>CLASSIFIER_STALLED</x:v>
      </x:c>
      <x:c r="D101" s="31" t="str">
        <x:v>Add</x:v>
      </x:c>
      <x:c r="E101" s="31" t="str">
        <x:v>CRITICAL</x:v>
      </x:c>
      <x:c r="F101" s="31" t="str">
        <x:v>Main queue</x:v>
      </x:c>
      <x:c r="G101" s="31" t="str">
        <x:v>YES</x:v>
      </x:c>
      <x:c r="H101" s="31" t="str">
        <x:v>Normalized events continue but curated output stops</x:v>
      </x:c>
      <x:c r="I101" s="31" t="str">
        <x:v>Governance events are arriving but no longer being classified.</x:v>
      </x:c>
      <x:c r="J101" s="31" t="str">
        <x:v>No suppression except planned deployment.</x:v>
      </x:c>
      <x:c r="K101" s="31" t="str">
        <x:v>Operational derived event</x:v>
      </x:c>
      <x:c r="L101" s="31" t="str">
        <x:v>HIGH</x:v>
      </x:c>
      <x:c r="M101" s="31" t="str">
        <x:v>Accept</x:v>
      </x:c>
      <x:c r="N101" s="31" t="str"/>
      <x:c r="O101" s="31" t="str"/>
    </x:row>
    <x:row r="102">
      <x:c r="A102" s="31" t="str">
        <x:v>AE-006</x:v>
      </x:c>
      <x:c r="B102" s="31" t="str">
        <x:v>AUDIT_AND_EVIDENCE_INTEGRITY</x:v>
      </x:c>
      <x:c r="C102" s="31" t="str">
        <x:v>PIPELINE_STALLED</x:v>
      </x:c>
      <x:c r="D102" s="31" t="str">
        <x:v>Add</x:v>
      </x:c>
      <x:c r="E102" s="31" t="str">
        <x:v>CRITICAL</x:v>
      </x:c>
      <x:c r="F102" s="31" t="str">
        <x:v>Main queue</x:v>
      </x:c>
      <x:c r="G102" s="31" t="str">
        <x:v>YES</x:v>
      </x:c>
      <x:c r="H102" s="31" t="str">
        <x:v>No successful processing beyond agreed threshold</x:v>
      </x:c>
      <x:c r="I102" s="31" t="str">
        <x:v>The platform becomes blind to new governance changes.</x:v>
      </x:c>
      <x:c r="J102" s="31" t="str">
        <x:v>Planned maintenance window only.</x:v>
      </x:c>
      <x:c r="K102" s="31" t="str">
        <x:v>Operational derived event from pipeline-health table</x:v>
      </x:c>
      <x:c r="L102" s="31" t="str">
        <x:v>HIGH</x:v>
      </x:c>
      <x:c r="M102" s="31" t="str">
        <x:v>Accept</x:v>
      </x:c>
      <x:c r="N102" s="31" t="str"/>
      <x:c r="O102" s="31" t="str"/>
    </x:row>
    <x:row r="103">
      <x:c r="A103" s="31" t="str">
        <x:v>AE-007</x:v>
      </x:c>
      <x:c r="B103" s="31" t="str">
        <x:v>AUDIT_AND_EVIDENCE_INTEGRITY</x:v>
      </x:c>
      <x:c r="C103" s="31" t="str">
        <x:v>EXCEPTION_PRIORITY_MISMATCH</x:v>
      </x:c>
      <x:c r="D103" s="31" t="str">
        <x:v>Add</x:v>
      </x:c>
      <x:c r="E103" s="31" t="str">
        <x:v>HIGH</x:v>
      </x:c>
      <x:c r="F103" s="31" t="str">
        <x:v>Main queue</x:v>
      </x:c>
      <x:c r="G103" s="31" t="str">
        <x:v>YES</x:v>
      </x:c>
      <x:c r="H103" s="31" t="str">
        <x:v>Any active exception match where final priority differs</x:v>
      </x:c>
      <x:c r="I103" s="31" t="str">
        <x:v>Indicates classifier/exception logic is not behaving as configured.</x:v>
      </x:c>
      <x:c r="J103" s="31" t="str">
        <x:v>No suppression until logic is corrected.</x:v>
      </x:c>
      <x:c r="K103" s="31" t="str">
        <x:v>Derived comparison between exception register and curated event</x:v>
      </x:c>
      <x:c r="L103" s="31" t="str">
        <x:v>HIGH</x:v>
      </x:c>
      <x:c r="M103" s="31" t="str">
        <x:v>Accept</x:v>
      </x:c>
      <x:c r="N103" s="31" t="str"/>
      <x:c r="O103" s="31" t="str"/>
    </x:row>
    <x:row r="104">
      <x:c r="A104" s="31" t="str">
        <x:v>AE-008</x:v>
      </x:c>
      <x:c r="B104" s="31" t="str">
        <x:v>AUDIT_AND_EVIDENCE_INTEGRITY</x:v>
      </x:c>
      <x:c r="C104" s="31" t="str">
        <x:v>CLASSIFIER_RULE_VERSION_CHANGED</x:v>
      </x:c>
      <x:c r="D104" s="31" t="str">
        <x:v>Add</x:v>
      </x:c>
      <x:c r="E104" s="31" t="str">
        <x:v>MEDIUM</x:v>
      </x:c>
      <x:c r="F104" s="31" t="str">
        <x:v>Context only</x:v>
      </x:c>
      <x:c r="G104" s="31" t="str">
        <x:v>NO</x:v>
      </x:c>
      <x:c r="H104" s="31" t="str">
        <x:v>—</x:v>
      </x:c>
      <x:c r="I104" s="31" t="str">
        <x:v>Important deployment evidence and useful for explaining classification changes.</x:v>
      </x:c>
      <x:c r="J104" s="31" t="str">
        <x:v>No alert unless unapproved production change.</x:v>
      </x:c>
      <x:c r="K104" s="31" t="str">
        <x:v>Rule-version deployment/change record</x:v>
      </x:c>
      <x:c r="L104" s="31" t="str">
        <x:v>MEDIUM</x:v>
      </x:c>
      <x:c r="M104" s="31" t="str">
        <x:v>Accept</x:v>
      </x:c>
      <x:c r="N104" s="31" t="str"/>
      <x:c r="O104" s="31" t="str"/>
    </x:row>
    <x:row r="105">
      <x:c r="A105" s="31" t="str">
        <x:v>AE-009</x:v>
      </x:c>
      <x:c r="B105" s="31" t="str">
        <x:v>AUDIT_AND_EVIDENCE_INTEGRITY</x:v>
      </x:c>
      <x:c r="C105" s="31" t="str">
        <x:v>SOURCE_FILE_REPROCESSED</x:v>
      </x:c>
      <x:c r="D105" s="31" t="str">
        <x:v>Add</x:v>
      </x:c>
      <x:c r="E105" s="31" t="str">
        <x:v>LOW</x:v>
      </x:c>
      <x:c r="F105" s="31" t="str">
        <x:v>Hidden by default</x:v>
      </x:c>
      <x:c r="G105" s="31" t="str">
        <x:v>NO</x:v>
      </x:c>
      <x:c r="H105" s="31" t="str">
        <x:v>—</x:v>
      </x:c>
      <x:c r="I105" s="31" t="str">
        <x:v>Operational evidence only; can create visual noise.</x:v>
      </x:c>
      <x:c r="J105" s="31" t="str">
        <x:v>Hide from normal dashboards.</x:v>
      </x:c>
      <x:c r="K105" s="31" t="str">
        <x:v>Source file processed again intentionally</x:v>
      </x:c>
      <x:c r="L105" s="31" t="str">
        <x:v>MEDIUM</x:v>
      </x:c>
      <x:c r="M105" s="31" t="str">
        <x:v>Accept</x:v>
      </x:c>
      <x:c r="N105" s="31" t="str"/>
      <x:c r="O105" s="31" t="str"/>
    </x:row>
    <x:row r="106">
      <x:c r="A106" s="31" t="str">
        <x:v>AE-010</x:v>
      </x:c>
      <x:c r="B106" s="31" t="str">
        <x:v>AUDIT_AND_EVIDENCE_INTEGRITY</x:v>
      </x:c>
      <x:c r="C106" s="31" t="str">
        <x:v>DUPLICATE_EVENT_SUPPRESSED</x:v>
      </x:c>
      <x:c r="D106" s="31" t="str">
        <x:v>Add</x:v>
      </x:c>
      <x:c r="E106" s="31" t="str">
        <x:v>LOW</x:v>
      </x:c>
      <x:c r="F106" s="31" t="str">
        <x:v>Hidden by default</x:v>
      </x:c>
      <x:c r="G106" s="31" t="str">
        <x:v>NO</x:v>
      </x:c>
      <x:c r="H106" s="31" t="str">
        <x:v>—</x:v>
      </x:c>
      <x:c r="I106" s="31" t="str">
        <x:v>Confirms deduplication behavior but is not a governance event.</x:v>
      </x:c>
      <x:c r="J106" s="31" t="str">
        <x:v>Keep in operations metrics, not governance dashboards.</x:v>
      </x:c>
      <x:c r="K106" s="31" t="str">
        <x:v>Duplicate event detected/suppressed</x:v>
      </x:c>
      <x:c r="L106" s="31" t="str">
        <x:v>MEDIUM</x:v>
      </x:c>
      <x:c r="M106" s="31" t="str">
        <x:v>Accept</x:v>
      </x:c>
      <x:c r="N106" s="31" t="str"/>
      <x:c r="O106" s="31" t="str"/>
    </x:row>
  </x:sheetData>
  <x:conditionalFormatting sqref="E2:E106">
    <x:cfRule type="expression" dxfId="0" priority="1">
      <x:formula>E2="CRITICAL"</x:formula>
    </x:cfRule>
    <x:cfRule type="expression" dxfId="1" priority="2">
      <x:formula>E2="HIGH"</x:formula>
    </x:cfRule>
    <x:cfRule type="expression" dxfId="2" priority="3">
      <x:formula>E2="MEDIUM"</x:formula>
    </x:cfRule>
    <x:cfRule type="expression" dxfId="3" priority="4">
      <x:formula>E2="LOW"</x:formula>
    </x:cfRule>
  </x:conditionalFormatting>
  <x:conditionalFormatting sqref="G2:G106">
    <x:cfRule type="expression" dxfId="4" priority="5">
      <x:formula>G2="YES"</x:formula>
    </x:cfRule>
    <x:cfRule type="expression" dxfId="5" priority="6">
      <x:formula>G2="CONDITIONAL"</x:formula>
    </x:cfRule>
  </x:conditionalFormatting>
  <x:conditionalFormatting sqref="M2:M106">
    <x:cfRule type="expression" dxfId="6" priority="7">
      <x:formula>M2="Discuss"</x:formula>
    </x:cfRule>
    <x:cfRule type="expression" dxfId="7" priority="8">
      <x:formula>M2="Remove"</x:formula>
    </x:cfRule>
  </x:conditionalFormatting>
  <x:dataValidations count="2">
    <x:dataValidation type="list" sqref="M2:M106">
      <x:formula1>"Accept,Change,Discuss,Remove"</x:formula1>
    </x:dataValidation>
    <x:dataValidation type="list" sqref="N2:N106">
      <x:formula1>"CRITICAL,HIGH,MEDIUM,LOW,HIDDEN"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e1c539e41f4f4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20" hidden="0" customWidth="1"/>
    <x:col min="4" max="4" width="16" hidden="0" customWidth="1"/>
    <x:col min="5" max="5" width="16" hidden="0" customWidth="1"/>
    <x:col min="6" max="6" width="30" hidden="0" customWidth="1"/>
    <x:col min="7" max="7" width="44" hidden="0" customWidth="1"/>
  </x:cols>
  <x:sheetData>
    <x:row r="1" ht="28" customHeight="1">
      <x:c r="A1" s="5" t="str">
        <x:v>Priority and Alerting Framework</x:v>
      </x:c>
      <x:c r="B1" s="5"/>
      <x:c r="C1" s="5"/>
      <x:c r="D1" s="5"/>
      <x:c r="E1" s="5"/>
      <x:c r="F1" s="5"/>
      <x:c r="G1" s="5"/>
    </x:row>
    <x:row r="3">
      <x:c r="A3" s="20" t="str">
        <x:v>Priority</x:v>
      </x:c>
      <x:c r="B3" s="20" t="str">
        <x:v>Meaning in this platform</x:v>
      </x:c>
      <x:c r="C3" s="20" t="str">
        <x:v>Expected review time</x:v>
      </x:c>
      <x:c r="D3" s="20" t="str">
        <x:v>Default alert</x:v>
      </x:c>
      <x:c r="E3" s="20" t="str">
        <x:v>Main queue</x:v>
      </x:c>
      <x:c r="F3" s="20" t="str">
        <x:v>Generic wildcard exception allowed?</x:v>
      </x:c>
      <x:c r="G3" s="20" t="str">
        <x:v>Examples</x:v>
      </x:c>
    </x:row>
    <x:row r="4">
      <x:c r="A4" s="31" t="str">
        <x:v>CRITICAL</x:v>
      </x:c>
      <x:c r="B4" s="31" t="str">
        <x:v>Immediate loss of governance control, sensitive-code exposure, evidence blind spot, or availability/authentication impact to a critical platform service.</x:v>
      </x:c>
      <x:c r="C4" s="31" t="str">
        <x:v>Immediate / 15–30 min</x:v>
      </x:c>
      <x:c r="D4" s="31" t="str">
        <x:v>Yes</x:v>
      </x:c>
      <x:c r="E4" s="31" t="str">
        <x:v>Yes</x:v>
      </x:c>
      <x:c r="F4" s="31" t="str">
        <x:v>No</x:v>
      </x:c>
      <x:c r="G4" s="31" t="str">
        <x:v>Critical tech account suspended; repo made public; secret scanning disabled; audit pipeline stalled</x:v>
      </x:c>
    </x:row>
    <x:row r="5">
      <x:c r="A5" s="31" t="str">
        <x:v>HIGH</x:v>
      </x:c>
      <x:c r="B5" s="31" t="str">
        <x:v>Material weakening of a control, privileged access change, or likely operational impact that requires prompt review.</x:v>
      </x:c>
      <x:c r="C5" s="31" t="str">
        <x:v>Same business day</x:v>
      </x:c>
      <x:c r="D5" s="31" t="str">
        <x:v>Conditional</x:v>
      </x:c>
      <x:c r="E5" s="31" t="str">
        <x:v>Yes</x:v>
      </x:c>
      <x:c r="F5" s="31" t="str">
        <x:v>Only with narrow, event-specific evidence</x:v>
      </x:c>
      <x:c r="G5" s="31" t="str">
        <x:v>Outside collaborator added; required check removed; runner-group access removed</x:v>
      </x:c>
    </x:row>
    <x:row r="6">
      <x:c r="A6" s="31" t="str">
        <x:v>MEDIUM</x:v>
      </x:c>
      <x:c r="B6" s="31" t="str">
        <x:v>Meaningful change requiring regular governance review but no immediate response.</x:v>
      </x:c>
      <x:c r="C6" s="31" t="str">
        <x:v>Weekly review</x:v>
      </x:c>
      <x:c r="D6" s="31" t="str">
        <x:v>No</x:v>
      </x:c>
      <x:c r="E6" s="31" t="str">
        <x:v>No, context view only</x:v>
      </x:c>
      <x:c r="F6" s="31" t="str">
        <x:v>Team membership change; merge setting change; default branch change</x:v>
      </x:c>
      <x:c r="G6" s="31"/>
    </x:row>
    <x:row r="7">
      <x:c r="A7" s="31" t="str">
        <x:v>LOW</x:v>
      </x:c>
      <x:c r="B7" s="31" t="str">
        <x:v>Positive, recovery, expected automation, or administrative evidence.</x:v>
      </x:c>
      <x:c r="C7" s="31" t="str">
        <x:v>Evidence only</x:v>
      </x:c>
      <x:c r="D7" s="31" t="str">
        <x:v>No</x:v>
      </x:c>
      <x:c r="E7" s="31" t="str">
        <x:v>No</x:v>
      </x:c>
      <x:c r="F7" s="31" t="str">
        <x:v>Critical account restored; security configuration applied; repo made private</x:v>
      </x:c>
      <x:c r="G7" s="31"/>
    </x:row>
    <x:row r="8">
      <x:c r="A8" s="31" t="str">
        <x:v>HIDDEN</x:v>
      </x:c>
      <x:c r="B8" s="31" t="str">
        <x:v>Operational noise or derived evidence not useful in normal governance dashboards.</x:v>
      </x:c>
      <x:c r="C8" s="31" t="str">
        <x:v>Operations only</x:v>
      </x:c>
      <x:c r="D8" s="31" t="str">
        <x:v>No</x:v>
      </x:c>
      <x:c r="E8" s="31" t="str">
        <x:v>No</x:v>
      </x:c>
      <x:c r="F8" s="31" t="str">
        <x:v>Duplicate suppressed; source file reprocessed</x:v>
      </x:c>
      <x:c r="G8" s="31"/>
    </x:row>
    <x:row r="9">
      <x:c r="A9" s="31"/>
      <x:c r="B9" s="31"/>
      <x:c r="C9" s="31"/>
      <x:c r="D9" s="31"/>
      <x:c r="E9" s="31"/>
      <x:c r="F9" s="31"/>
      <x:c r="G9" s="31"/>
    </x:row>
    <x:row r="10">
      <x:c r="A10" s="31"/>
      <x:c r="B10" s="31"/>
      <x:c r="C10" s="31"/>
      <x:c r="D10" s="31"/>
      <x:c r="E10" s="31"/>
      <x:c r="F10" s="31"/>
      <x:c r="G10" s="31"/>
    </x:row>
    <x:row r="11">
      <x:c r="A11" s="20" t="str">
        <x:v>Decision rule</x:v>
      </x:c>
      <x:c r="B11" s="20" t="str">
        <x:v>Question to ask</x:v>
      </x:c>
      <x:c r="C11" s="20" t="str">
        <x:v>CRITICAL outcome</x:v>
      </x:c>
      <x:c r="D11" s="20" t="str">
        <x:v>HIGH outcome</x:v>
      </x:c>
      <x:c r="E11" s="20" t="str">
        <x:v>MEDIUM outcome</x:v>
      </x:c>
      <x:c r="F11" s="20" t="str">
        <x:v>LOW/HIDDEN outcome</x:v>
      </x:c>
      <x:c r="G11" s="20" t="str">
        <x:v>Notes</x:v>
      </x:c>
    </x:row>
    <x:row r="12">
      <x:c r="A12" s="31" t="str">
        <x:v>Exposure</x:v>
      </x:c>
      <x:c r="B12" s="31" t="str">
        <x:v>Could this expose private code, credentials, or enterprise data immediately?</x:v>
      </x:c>
      <x:c r="C12" s="31" t="str">
        <x:v>Yes, direct exposure</x:v>
      </x:c>
      <x:c r="D12" s="31" t="str">
        <x:v>Potential or scoped exposure</x:v>
      </x:c>
      <x:c r="E12" s="31" t="str">
        <x:v>No direct exposure</x:v>
      </x:c>
      <x:c r="F12" s="31" t="str">
        <x:v>No exposure</x:v>
      </x:c>
      <x:c r="G12" s="31" t="str">
        <x:v>Private/internal → public is CRITICAL</x:v>
      </x:c>
    </x:row>
    <x:row r="13">
      <x:c r="A13" s="31" t="str">
        <x:v>Control weakening</x:v>
      </x:c>
      <x:c r="B13" s="31" t="str">
        <x:v>Does this remove or bypass a preventive/detective control?</x:v>
      </x:c>
      <x:c r="C13" s="31" t="str">
        <x:v>Multiple/core controls removed</x:v>
      </x:c>
      <x:c r="D13" s="31" t="str">
        <x:v>Material control weakened</x:v>
      </x:c>
      <x:c r="E13" s="31" t="str">
        <x:v>Configuration changed</x:v>
      </x:c>
      <x:c r="F13" s="31" t="str">
        <x:v>Control strengthened</x:v>
      </x:c>
      <x:c r="G13" s="31" t="str">
        <x:v>Direction matters; split generic events</x:v>
      </x:c>
    </x:row>
    <x:row r="14">
      <x:c r="A14" s="31" t="str">
        <x:v>Availability</x:v>
      </x:c>
      <x:c r="B14" s="31" t="str">
        <x:v>Can it stop runner, app, CI/CD, audit, or deployment capability?</x:v>
      </x:c>
      <x:c r="C14" s="31" t="str">
        <x:v>Critical shared service stops</x:v>
      </x:c>
      <x:c r="D14" s="31" t="str">
        <x:v>Likely scoped outage</x:v>
      </x:c>
      <x:c r="E14" s="31" t="str">
        <x:v>Minor operational effect</x:v>
      </x:c>
      <x:c r="F14" s="31" t="str">
        <x:v>Recovery event</x:v>
      </x:c>
      <x:c r="G14" s="31" t="str">
        <x:v>Enrich using critical asset registry</x:v>
      </x:c>
    </x:row>
    <x:row r="15">
      <x:c r="A15" s="31" t="str">
        <x:v>Privilege</x:v>
      </x:c>
      <x:c r="B15" s="31" t="str">
        <x:v>Does it grant owner/admin/bypass/broad external access?</x:v>
      </x:c>
      <x:c r="C15" s="31" t="str">
        <x:v>Enterprise-wide or emergency privilege compromise</x:v>
      </x:c>
      <x:c r="D15" s="31" t="str">
        <x:v>Privileged grant</x:v>
      </x:c>
      <x:c r="E15" s="31" t="str">
        <x:v>Normal access grant</x:v>
      </x:c>
      <x:c r="F15" s="31" t="str">
        <x:v>Access removed</x:v>
      </x:c>
      <x:c r="G15" s="31" t="str">
        <x:v>Role and scope enrichment required</x:v>
      </x:c>
    </x:row>
    <x:row r="16">
      <x:c r="A16" s="31" t="str">
        <x:v>Evidence integrity</x:v>
      </x:c>
      <x:c r="B16" s="31" t="str">
        <x:v>Can the platform become blind or incomplete?</x:v>
      </x:c>
      <x:c r="C16" s="31" t="str">
        <x:v>Confirmed gap/stall</x:v>
      </x:c>
      <x:c r="D16" s="31" t="str">
        <x:v>Delivery failure or mismatch</x:v>
      </x:c>
      <x:c r="E16" s="31" t="str">
        <x:v>Rule/config change</x:v>
      </x:c>
      <x:c r="F16" s="31" t="str">
        <x:v>Successful processing</x:v>
      </x:c>
      <x:c r="G16" s="31" t="str">
        <x:v>Operational alerts belong here</x:v>
      </x:c>
    </x:row>
    <x:row r="17">
      <x:c r="A17" s="31" t="str">
        <x:v>Automation</x:v>
      </x:c>
      <x:c r="B17" s="31" t="str">
        <x:v>Is it expected and approved?</x:v>
      </x:c>
      <x:c r="C17" s="31" t="str">
        <x:v>Still alert for destructive critical events</x:v>
      </x:c>
      <x:c r="D17" s="31" t="str">
        <x:v>Narrow suppression only</x:v>
      </x:c>
      <x:c r="E17" s="31" t="str">
        <x:v>Downgrade with evidence</x:v>
      </x:c>
      <x:c r="F17" s="31" t="str">
        <x:v>Usually LOW</x:v>
      </x:c>
      <x:c r="G17" s="31" t="str">
        <x:v>Do not let wildcard exceptions suppress critical identity/security events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24" hidden="0" customWidth="1"/>
    <x:col min="4" max="4" width="18" hidden="0" customWidth="1"/>
    <x:col min="5" max="5" width="38" hidden="0" customWidth="1"/>
    <x:col min="6" max="6" width="36" hidden="0" customWidth="1"/>
  </x:cols>
  <x:sheetData>
    <x:row r="1" ht="28" customHeight="1">
      <x:c r="A1" s="5" t="str">
        <x:v>Stakeholder Review Checklist</x:v>
      </x:c>
      <x:c r="B1" s="5"/>
      <x:c r="C1" s="5"/>
      <x:c r="D1" s="5"/>
      <x:c r="E1" s="5"/>
      <x:c r="F1" s="5"/>
    </x:row>
    <x:row r="3">
      <x:c r="A3" s="20" t="str">
        <x:v>Review question</x:v>
      </x:c>
      <x:c r="B3" s="20" t="str">
        <x:v>Why it matters</x:v>
      </x:c>
      <x:c r="C3" s="20" t="str">
        <x:v>Owner / stakeholder</x:v>
      </x:c>
      <x:c r="D3" s="20" t="str">
        <x:v>Decision</x:v>
      </x:c>
      <x:c r="E3" s="20" t="str">
        <x:v>Notes</x:v>
      </x:c>
      <x:c r="F3" s="20" t="str">
        <x:v>Suggested evidence</x:v>
      </x:c>
    </x:row>
    <x:row r="4">
      <x:c r="A4" s="31" t="str">
        <x:v>Is the proposed priority correct in our operating context?</x:v>
      </x:c>
      <x:c r="B4" s="31" t="str">
        <x:v>Priority must reflect actual impact, not generic security severity.</x:v>
      </x:c>
      <x:c r="C4" s="31" t="str">
        <x:v>GitHub Platform / Governance</x:v>
      </x:c>
      <x:c r="D4" s="31" t="str"/>
      <x:c r="E4" s="31" t="str"/>
      <x:c r="F4" s="31" t="str">
        <x:v>Recent examples and incident history</x:v>
      </x:c>
    </x:row>
    <x:row r="5">
      <x:c r="A5" s="31" t="str">
        <x:v>Which conditions should escalate the default priority?</x:v>
      </x:c>
      <x:c r="B5" s="31" t="str">
        <x:v>Avoids classifying every instance as equally severe.</x:v>
      </x:c>
      <x:c r="C5" s="31" t="str">
        <x:v>Service owner</x:v>
      </x:c>
      <x:c r="D5" s="31" t="str"/>
      <x:c r="E5" s="31" t="str"/>
      <x:c r="F5" s="31" t="str">
        <x:v>Critical asset/repository registry</x:v>
      </x:c>
    </x:row>
    <x:row r="6">
      <x:c r="A6" s="31" t="str">
        <x:v>Should this event create a real-time alert?</x:v>
      </x:c>
      <x:c r="B6" s="31" t="str">
        <x:v>Alerts must be rare, actionable, and owned.</x:v>
      </x:c>
      <x:c r="C6" s="31" t="str">
        <x:v>On-call / Operations</x:v>
      </x:c>
      <x:c r="D6" s="31" t="str"/>
      <x:c r="E6" s="31" t="str"/>
      <x:c r="F6" s="31" t="str">
        <x:v>Runbook and response owner</x:v>
      </x:c>
    </x:row>
    <x:row r="7">
      <x:c r="A7" s="31" t="str">
        <x:v>What is the acceptable review time?</x:v>
      </x:c>
      <x:c r="B7" s="31" t="str">
        <x:v>Creates a measurable operating model.</x:v>
      </x:c>
      <x:c r="C7" s="31" t="str">
        <x:v>Governance owner</x:v>
      </x:c>
      <x:c r="D7" s="31" t="str"/>
      <x:c r="E7" s="31" t="str"/>
      <x:c r="F7" s="31" t="str">
        <x:v>SLA or review cadence</x:v>
      </x:c>
    </x:row>
    <x:row r="8">
      <x:c r="A8" s="31" t="str">
        <x:v>Can approved automation suppress this event?</x:v>
      </x:c>
      <x:c r="B8" s="31" t="str">
        <x:v>Generic suppression can hide destructive activity.</x:v>
      </x:c>
      <x:c r="C8" s="31" t="str">
        <x:v>Platform engineering</x:v>
      </x:c>
      <x:c r="D8" s="31" t="str"/>
      <x:c r="E8" s="31" t="str"/>
      <x:c r="F8" s="31" t="str">
        <x:v>Automation identity and change process</x:v>
      </x:c>
    </x:row>
    <x:row r="9">
      <x:c r="A9" s="31" t="str">
        <x:v>Does the audit log contain enough fields to classify direction and scope?</x:v>
      </x:c>
      <x:c r="B9" s="31" t="str">
        <x:v>Generic events may need raw JSON extraction or enrichment.</x:v>
      </x:c>
      <x:c r="C9" s="31" t="str">
        <x:v>Data engineering</x:v>
      </x:c>
      <x:c r="D9" s="31" t="str"/>
      <x:c r="E9" s="31" t="str"/>
      <x:c r="F9" s="31" t="str">
        <x:v>Observed raw events</x:v>
      </x:c>
    </x:row>
    <x:row r="10">
      <x:c r="A10" s="31" t="str">
        <x:v>Do we need owner, repository criticality, or identity criticality enrichment?</x:v>
      </x:c>
      <x:c r="B10" s="31" t="str">
        <x:v>Context determines impact for many events.</x:v>
      </x:c>
      <x:c r="C10" s="31" t="str">
        <x:v>Asset owners</x:v>
      </x:c>
      <x:c r="D10" s="31" t="str"/>
      <x:c r="E10" s="31" t="str"/>
      <x:c r="F10" s="31" t="str">
        <x:v>Registry fields and source of truth</x:v>
      </x:c>
    </x:row>
    <x:row r="11">
      <x:c r="A11" s="31" t="str">
        <x:v>Should strengthening/recovery events remain visible?</x:v>
      </x:c>
      <x:c r="B11" s="31" t="str">
        <x:v>Useful evidence can still create dashboard noise.</x:v>
      </x:c>
      <x:c r="C11" s="31" t="str">
        <x:v>Dashboard users</x:v>
      </x:c>
      <x:c r="D11" s="31" t="str"/>
      <x:c r="E11" s="31" t="str"/>
      <x:c r="F11" s="31" t="str">
        <x:v>Usage feedback</x:v>
      </x:c>
    </x:row>
    <x:row r="12">
      <x:c r="A12" s="31" t="str">
        <x:v>Is the canonical event name understandable to non-GitHub experts?</x:v>
      </x:c>
      <x:c r="B12" s="31" t="str">
        <x:v>Clear names improve adoption and review quality.</x:v>
      </x:c>
      <x:c r="C12" s="31" t="str">
        <x:v>Product owner</x:v>
      </x:c>
      <x:c r="D12" s="31" t="str"/>
      <x:c r="E12" s="31" t="str"/>
      <x:c r="F12" s="31" t="str">
        <x:v>Dashboard terminology review</x:v>
      </x:c>
    </x:row>
    <x:row r="13">
      <x:c r="A13" s="31" t="str">
        <x:v>Who owns remediation when this event occurs?</x:v>
      </x:c>
      <x:c r="B13" s="31" t="str">
        <x:v>An alert without an owner is noise.</x:v>
      </x:c>
      <x:c r="C13" s="31" t="str">
        <x:v>Operations / Security / Repo owner</x:v>
      </x:c>
      <x:c r="D13" s="31" t="str"/>
      <x:c r="E13" s="31" t="str"/>
      <x:c r="F13" s="31" t="str">
        <x:v>RACI and escalation path</x:v>
      </x:c>
    </x:row>
  </x:sheetData>
  <x:mergeCells>
    <x:mergeCell ref="A1:F1"/>
  </x:mergeCells>
  <x:pageMargins left="0.7" right="0.7" top="0.75" bottom="0.75" header="0.3" footer="0.3"/>
</x:worksheet>
</file>