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90d376ea5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b32bdd96014036"/>
    <x:sheet xmlns:r="http://schemas.openxmlformats.org/officeDocument/2006/relationships" name="Event Catalog" sheetId="2" r:id="Rd1356e56814e465f"/>
    <x:sheet xmlns:r="http://schemas.openxmlformats.org/officeDocument/2006/relationships" name="Dashboard Map" sheetId="3" r:id="R05f0f2b4dbad4bc2"/>
    <x:sheet xmlns:r="http://schemas.openxmlformats.org/officeDocument/2006/relationships" name="Discovery Queries" sheetId="4" r:id="R85d30919aa734647"/>
    <x:sheet xmlns:r="http://schemas.openxmlformats.org/officeDocument/2006/relationships" name="Implementation Roadmap" sheetId="5" r:id="Rb4f1a45ecb5242f9"/>
    <x:sheet xmlns:r="http://schemas.openxmlformats.org/officeDocument/2006/relationships" name="Sources" sheetId="6" r:id="Rfb3715739559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63E7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7F0000"/>
      </x:font>
      <x:fill>
        <x:patternFill patternType="solid">
          <x:bgColor rgb="FFF4B183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5eeac79ae47bd" /><Relationship Type="http://schemas.openxmlformats.org/officeDocument/2006/relationships/theme" Target="/xl/theme/theme1.xml" Id="R5d464ed57cbc4cba" /><Relationship Type="http://schemas.openxmlformats.org/officeDocument/2006/relationships/sharedStrings" Target="/xl/sharedStrings.xml" Id="Rcf9b52178ae04c2e" /><Relationship Type="http://schemas.openxmlformats.org/officeDocument/2006/relationships/worksheet" Target="/xl/worksheets/sheet1.xml" Id="R9cb32bdd96014036" /><Relationship Type="http://schemas.openxmlformats.org/officeDocument/2006/relationships/worksheet" Target="/xl/worksheets/sheet2.xml" Id="Rd1356e56814e465f" /><Relationship Type="http://schemas.openxmlformats.org/officeDocument/2006/relationships/worksheet" Target="/xl/worksheets/sheet3.xml" Id="R05f0f2b4dbad4bc2" /><Relationship Type="http://schemas.openxmlformats.org/officeDocument/2006/relationships/worksheet" Target="/xl/worksheets/sheet4.xml" Id="R85d30919aa734647" /><Relationship Type="http://schemas.openxmlformats.org/officeDocument/2006/relationships/worksheet" Target="/xl/worksheets/sheet5.xml" Id="Rb4f1a45ecb5242f9" /><Relationship Type="http://schemas.openxmlformats.org/officeDocument/2006/relationships/worksheet" Target="/xl/worksheets/sheet6.xml" Id="Rfb371573955944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9aeb5945f34b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Priority Mix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'Summary'!$F$20:$F$23</c:f>
              <c:strCache>
                <c:ptCount val="0"/>
              </c:strCache>
            </c:strRef>
          </c:cat>
          <c:val>
            <c:numRef>
              <c:f>'Summary'!$G$20:$G$23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9aeb5945f34b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vernanceEventCatalog" displayName="GovernanceEventCatalog" ref="A2:M65" headerRowCount="1">
  <x:tableColumns count="13">
    <x:tableColumn id="1" name="ID"/>
    <x:tableColumn id="2" name="Governance area"/>
    <x:tableColumn id="3" name="Audit action / pattern"/>
    <x:tableColumn id="4" name="Scope"/>
    <x:tableColumn id="5" name="Change direction"/>
    <x:tableColumn id="6" name="Recommended priority"/>
    <x:tableColumn id="7" name="Critical rule / decision"/>
    <x:tableColumn id="8" name="What this event means"/>
    <x:tableColumn id="9" name="Use in dashboard"/>
    <x:tableColumn id="10" name="Implementation phase"/>
    <x:tableColumn id="11" name="Current status"/>
    <x:tableColumn id="12" name="Notes / exception handling"/>
    <x:tableColumn id="13" name="Official source"/>
  </x:tableColumns>
  <x:tableStyleInfo name="TableStyleMedium2" showRowStripes="1"/>
</x:table>
</file>

<file path=xl/tables/table2.xml><?xml version="1.0" encoding="utf-8"?>
<x:table xmlns:x="http://schemas.openxmlformats.org/spreadsheetml/2006/main" id="2" name="DashboardPlan" displayName="DashboardPlan" ref="A2:H10" headerRowCount="1">
  <x:tableColumns count="8">
    <x:tableColumn id="1" name="Dashboard"/>
    <x:tableColumn id="2" name="Primary question"/>
    <x:tableColumn id="3" name="Data source"/>
    <x:tableColumn id="4" name="Core panels"/>
    <x:tableColumn id="5" name="Priority"/>
    <x:tableColumn id="6" name="Build order"/>
    <x:tableColumn id="7" name="Notes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DiscoveryQueries" displayName="DiscoveryQueries" ref="A2:F6" headerRowCount="1">
  <x:tableColumns count="6">
    <x:tableColumn id="1" name="Purpose"/>
    <x:tableColumn id="2" name="When to use"/>
    <x:tableColumn id="3" name="SQL"/>
    <x:tableColumn id="4" name="Expected decision"/>
    <x:tableColumn id="5" name="Cost guardrail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mplementationRoadmap" displayName="ImplementationRoadmap" ref="A2:G11" headerRowCount="1">
  <x:tableColumns count="7">
    <x:tableColumn id="1" name="Order"/>
    <x:tableColumn id="2" name="Work item"/>
    <x:tableColumn id="3" name="Deliverable"/>
    <x:tableColumn id="4" name="Priority"/>
    <x:tableColumn id="5" name="Dependency"/>
    <x:tableColumn id="6" name="Definition of done"/>
    <x:tableColumn id="7" name="Owner / decision needed"/>
  </x:tableColumns>
  <x:tableStyleInfo name="TableStyleMedium2" showRowStripes="1"/>
</x:table>
</file>

<file path=xl/tables/table5.xml><?xml version="1.0" encoding="utf-8"?>
<x:table xmlns:x="http://schemas.openxmlformats.org/spreadsheetml/2006/main" id="5" name="OfficialSources" displayName="OfficialSources" ref="A2:D8" headerRowCount="1">
  <x:tableColumns count="4">
    <x:tableColumn id="1" name="Source"/>
    <x:tableColumn id="2" name="Why used"/>
    <x:tableColumn id="3" name="URL"/>
    <x:tableColumn id="4" name="Key relev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76ea63ad5342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b60b770c4a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d73b119bef4a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2f36447b5f4e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866d9e629f42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103bf41735485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3" hidden="0" customWidth="1"/>
    <x:col min="4" max="4" width="24" hidden="0" customWidth="1"/>
    <x:col min="5" max="5" width="2" hidden="0" customWidth="1"/>
    <x:col min="6" max="6" width="32" hidden="0" customWidth="1"/>
    <x:col min="7" max="7" width="48" hidden="0" customWidth="1"/>
    <x:col min="8" max="8" width="25" hidden="0" customWidth="1"/>
  </x:cols>
  <x:sheetData>
    <x:row r="1" ht="28" customHeight="1">
      <x:c r="A1" s="5" t="str">
        <x:v>GitHub Governance Event Coverage &amp; Priority Catalogue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3" t="str">
        <x:v>Purpose</x:v>
      </x:c>
      <x:c r="B3" s="21" t="str">
        <x:v>Prepare a manager working session on which GitHub audit events must be captured, their review priority, and which events should power Grafana dashboards.</x:v>
      </x:c>
      <x:c r="C3" s="21" t="str"/>
      <x:c r="D3" s="21" t="str"/>
      <x:c r="E3" s="21" t="str"/>
      <x:c r="F3" s="21" t="str"/>
      <x:c r="G3" s="21" t="str"/>
      <x:c r="H3" s="21" t="str"/>
    </x:row>
    <x:row r="4" ht="42" customHeight="1">
      <x:c r="A4" s="13" t="str">
        <x:v>Important decision</x:v>
      </x:c>
      <x:c r="B4" s="21" t="str">
        <x:v>Manager direction: any manual disablement of push protection or other Advanced Security controls should be treated as CRITICAL unless an explicitly reviewed automation exception applies.</x:v>
      </x:c>
      <x:c r="C4" s="21" t="str"/>
      <x:c r="D4" s="21" t="str"/>
      <x:c r="E4" s="21" t="str"/>
      <x:c r="F4" s="21" t="str"/>
      <x:c r="G4" s="21" t="str"/>
      <x:c r="H4" s="21" t="str"/>
    </x:row>
    <x:row r="5" ht="42" customHeight="1">
      <x:c r="A5" s="13" t="str">
        <x:v>Graph note</x:v>
      </x:c>
      <x:c r="B5" s="21" t="str">
        <x:v>The current Branch and Merge-Control chart already groups by event_time. The spike is expected because current source data is concentrated around late June/early July and automation produced bulk repo provisioning changes. Keep a separate pipeline-freshness panel using classified_at/ingested_at; do not use it as the governance-event trend.</x:v>
      </x:c>
      <x:c r="C5" s="21" t="str"/>
      <x:c r="D5" s="21" t="str"/>
      <x:c r="E5" s="21" t="str"/>
      <x:c r="F5" s="21" t="str"/>
      <x:c r="G5" s="21" t="str"/>
      <x:c r="H5" s="21" t="str"/>
    </x:row>
    <x:row r="7">
      <x:c r="A7" s="30" t="str">
        <x:v>Catalogue KPIs</x:v>
      </x:c>
      <x:c r="B7" s="30" t="str">
        <x:v>Value</x:v>
      </x:c>
      <x:c r="C7" s="30" t="str">
        <x:v>How to use</x:v>
      </x:c>
      <x:c r="D7" s="30" t="str">
        <x:v>Formula / note</x:v>
      </x:c>
      <x:c r="F7" s="30" t="str">
        <x:v>Call decisions to obtain</x:v>
      </x:c>
      <x:c r="G7" s="30" t="str">
        <x:v>Why it matters</x:v>
      </x:c>
      <x:c r="H7" s="30" t="str">
        <x:v>Owner</x:v>
      </x:c>
    </x:row>
    <x:row r="8" ht="42" customHeight="1">
      <x:c r="A8" t="str">
        <x:v>Total proposed event rules</x:v>
      </x:c>
      <x:c r="B8" t="n">
        <x:f>COUNTA('Event Catalog'!A3:A200)</x:f>
        <x:v>63</x:v>
      </x:c>
      <x:c r="C8" t="str">
        <x:v>Scope of working catalogue</x:v>
      </x:c>
      <x:c r="D8" t="str"/>
      <x:c r="F8" t="str">
        <x:v>Confirm CRITICAL policy for manual security-feature disablement</x:v>
      </x:c>
      <x:c r="G8" t="str">
        <x:v>Defines the highest-priority security-control rules and removes ambiguity.</x:v>
      </x:c>
      <x:c r="H8" t="str">
        <x:v>Manager + Security / Cloud Platform</x:v>
      </x:c>
    </x:row>
    <x:row r="9" ht="42" customHeight="1">
      <x:c r="A9" t="str">
        <x:v>CRITICAL rules</x:v>
      </x:c>
      <x:c r="B9" t="n">
        <x:f>COUNTIF('Event Catalog'!F3:F200,"CRITICAL")</x:f>
        <x:v>21</x:v>
      </x:c>
      <x:c r="C9" t="str">
        <x:v>Manual security-control disablement / enterprise blast-radius events</x:v>
      </x:c>
      <x:c r="D9" t="str"/>
      <x:c r="F9" t="str">
        <x:v>Confirm baseline: which Advanced Security features are mandatory</x:v>
      </x:c>
      <x:c r="G9" t="str">
        <x:v>Determines whether Dependabot/security-update disablement is CRITICAL or HIGH.</x:v>
      </x:c>
      <x:c r="H9" t="str">
        <x:v>Security / GHAS owner</x:v>
      </x:c>
    </x:row>
    <x:row r="10" ht="42" customHeight="1">
      <x:c r="A10" t="str">
        <x:v>HIGH rules</x:v>
      </x:c>
      <x:c r="B10" t="n">
        <x:f>COUNTIF('Event Catalog'!F3:F200,"HIGH")</x:f>
        <x:v>23</x:v>
      </x:c>
      <x:c r="C10" t="str">
        <x:v>Immediate governance review candidates</x:v>
      </x:c>
      <x:c r="D10" t="str"/>
      <x:c r="F10" t="str">
        <x:v>Confirm allowed automation identities and actions</x:v>
      </x:c>
      <x:c r="G10" t="str">
        <x:v>Keeps expected provisioning changes visible but out of the urgent review queue.</x:v>
      </x:c>
      <x:c r="H10" t="str">
        <x:v>Cloud Platform</x:v>
      </x:c>
    </x:row>
    <x:row r="11" ht="42" customHeight="1">
      <x:c r="A11" t="str">
        <x:v>MEDIUM rules</x:v>
      </x:c>
      <x:c r="B11" t="n">
        <x:f>COUNTIF('Event Catalog'!F3:F200,"MEDIUM")</x:f>
        <x:v>12</x:v>
      </x:c>
      <x:c r="C11" t="str">
        <x:v>Review in normal governance cadence</x:v>
      </x:c>
      <x:c r="D11" t="str"/>
      <x:c r="F11" t="str">
        <x:v>Confirm which GitHub audit actions actually arrive in the GCS stream</x:v>
      </x:c>
      <x:c r="G11" t="str">
        <x:v>Avoids adding classifier rules for unavailable event names.</x:v>
      </x:c>
      <x:c r="H11" t="str">
        <x:v>Platform / data owner</x:v>
      </x:c>
    </x:row>
    <x:row r="12" ht="42" customHeight="1">
      <x:c r="A12" t="str">
        <x:v>P0 / existing</x:v>
      </x:c>
      <x:c r="B12" t="n">
        <x:f>COUNTIF('Event Catalog'!J3:J200,"P0")</x:f>
        <x:v>13</x:v>
      </x:c>
      <x:c r="C12" t="str">
        <x:v>Already classified or immediately implementable</x:v>
      </x:c>
      <x:c r="D12" t="str"/>
      <x:c r="F12" t="str">
        <x:v>Confirm repository criticality source</x:v>
      </x:c>
      <x:c r="G12" t="str">
        <x:v>Allows access and configuration changes to be elevated for production/sensitive repos.</x:v>
      </x:c>
      <x:c r="H12" t="str">
        <x:v>App owner / CMDB owner</x:v>
      </x:c>
    </x:row>
    <x:row r="13" ht="42" customHeight="1">
      <x:c r="A13" t="str">
        <x:v>Candidate rules needing raw-data validation</x:v>
      </x:c>
      <x:c r="B13" t="n">
        <x:f>COUNTIF('Event Catalog'!K3:K200,"Candidate - validate in data")</x:f>
        <x:v>49</x:v>
      </x:c>
      <x:c r="C13" t="str">
        <x:v>Do action-inventory query before adding to classifier</x:v>
      </x:c>
      <x:c r="D13" t="str"/>
      <x:c r="F13" t="str">
        <x:v>Confirm alert metadata source</x:v>
      </x:c>
      <x:c r="G13" t="str">
        <x:v>Needed to prioritize CodeQL, secret scanning, and Dependabot alerts by severity.</x:v>
      </x:c>
      <x:c r="H13" t="str">
        <x:v>Security tooling owner</x:v>
      </x:c>
    </x:row>
    <x:row r="14" ht="42" customHeight="1">
      <x:c r="F14" t="str">
        <x:v>Confirm dashboard audience and review cadence</x:v>
      </x:c>
      <x:c r="G14" t="str">
        <x:v>Separates executive posture, daily operations, and security investigation views.</x:v>
      </x:c>
      <x:c r="H14" t="str">
        <x:v>Manager + product owner</x:v>
      </x:c>
    </x:row>
    <x:row r="15" ht="42" customHeight="1">
      <x:c r="F15" t="str">
        <x:v>Confirm data retention and historical reconciliation policy</x:v>
      </x:c>
      <x:c r="G15" t="str">
        <x:v>Prevents missed late events while controlling BigQuery cost.</x:v>
      </x:c>
      <x:c r="H15" t="str">
        <x:v>Platform + governance</x:v>
      </x:c>
    </x:row>
    <x:row r="16" ht="42" customHeight="1">
      <x:c r="F16" t="str">
        <x:v>Confirm reporting owners / escalation route</x:v>
      </x:c>
      <x:c r="G16" t="str">
        <x:v>Defines what happens after a CRITICAL event appears.</x:v>
      </x:c>
      <x:c r="H16" t="str">
        <x:v>Governance / incident response</x:v>
      </x:c>
    </x:row>
    <x:row r="19">
      <x:c r="F19" s="30" t="str">
        <x:v>Priority</x:v>
      </x:c>
      <x:c r="G19" s="30" t="str">
        <x:v>Count</x:v>
      </x:c>
    </x:row>
    <x:row r="20">
      <x:c r="F20" t="str">
        <x:v>CRITICAL</x:v>
      </x:c>
      <x:c r="G20" t="n">
        <x:f>COUNTIF('Event Catalog'!F3:F200,"CRITICAL")</x:f>
        <x:v>21</x:v>
      </x:c>
    </x:row>
    <x:row r="21">
      <x:c r="F21" t="str">
        <x:v>HIGH</x:v>
      </x:c>
      <x:c r="G21" t="n">
        <x:f>COUNTIF('Event Catalog'!F3:F200,"HIGH")</x:f>
        <x:v>23</x:v>
      </x:c>
    </x:row>
    <x:row r="22">
      <x:c r="F22" t="str">
        <x:v>MEDIUM</x:v>
      </x:c>
      <x:c r="G22" t="n">
        <x:f>COUNTIF('Event Catalog'!F3:F200,"MEDIUM")</x:f>
        <x:v>12</x:v>
      </x:c>
    </x:row>
    <x:row r="23">
      <x:c r="F23" t="str">
        <x:v>LOW</x:v>
      </x:c>
      <x:c r="G23" t="n">
        <x:f>COUNTIF('Event Catalog'!F3:F200,"LOW")</x:f>
        <x:v>7</x:v>
      </x:c>
    </x:row>
  </x:sheetData>
  <x:mergeCells>
    <x:mergeCell ref="A1:H1"/>
  </x:mergeCells>
  <x:conditionalFormatting sqref="B8:B13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a76ea63ad53427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2F75B5"/>
            </x14:dataBar>
          </x14:cfRule>
          <xm:sqref>B8:B13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0" hidden="0" customWidth="1"/>
    <x:col min="4" max="4" width="14" hidden="0" customWidth="1"/>
    <x:col min="5" max="5" width="18" hidden="0" customWidth="1"/>
    <x:col min="6" max="6" width="16" hidden="0" customWidth="1"/>
    <x:col min="7" max="7" width="30" hidden="0" customWidth="1"/>
    <x:col min="8" max="8" width="45" hidden="0" customWidth="1"/>
    <x:col min="9" max="9" width="30" hidden="0" customWidth="1"/>
    <x:col min="10" max="10" width="14" hidden="0" customWidth="1"/>
    <x:col min="11" max="11" width="27" hidden="0" customWidth="1"/>
    <x:col min="12" max="12" width="38" hidden="0" customWidth="1"/>
    <x:col min="13" max="13" width="42" hidden="0" customWidth="1"/>
  </x:cols>
  <x:sheetData>
    <x:row r="1" ht="26" customHeight="1">
      <x:c r="A1" s="5" t="str">
        <x:v>Event Catalogue — Proposed GitHub Governance Coverage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30" t="str">
        <x:v>ID</x:v>
      </x:c>
      <x:c r="B2" s="30" t="str">
        <x:v>Governance area</x:v>
      </x:c>
      <x:c r="C2" s="30" t="str">
        <x:v>Audit action / pattern</x:v>
      </x:c>
      <x:c r="D2" s="30" t="str">
        <x:v>Scope</x:v>
      </x:c>
      <x:c r="E2" s="30" t="str">
        <x:v>Change direction</x:v>
      </x:c>
      <x:c r="F2" s="30" t="str">
        <x:v>Recommended priority</x:v>
      </x:c>
      <x:c r="G2" s="30" t="str">
        <x:v>Critical rule / decision</x:v>
      </x:c>
      <x:c r="H2" s="30" t="str">
        <x:v>What this event means</x:v>
      </x:c>
      <x:c r="I2" s="30" t="str">
        <x:v>Use in dashboard</x:v>
      </x:c>
      <x:c r="J2" s="30" t="str">
        <x:v>Implementation phase</x:v>
      </x:c>
      <x:c r="K2" s="30" t="str">
        <x:v>Current status</x:v>
      </x:c>
      <x:c r="L2" s="30" t="str">
        <x:v>Notes / exception handling</x:v>
      </x:c>
      <x:c r="M2" s="30" t="str">
        <x:v>Official source</x:v>
      </x:c>
    </x:row>
    <x:row r="3" ht="42" customHeight="1">
      <x:c r="A3" s="38" t="str">
        <x:v>P0-01</x:v>
      </x:c>
      <x:c r="B3" s="38" t="str">
        <x:v>Branch &amp; merge controls</x:v>
      </x:c>
      <x:c r="C3" s="38" t="str">
        <x:v>protected_branch.policy_override</x:v>
      </x:c>
      <x:c r="D3" s="38" t="str">
        <x:v>Repository</x:v>
      </x:c>
      <x:c r="E3" s="38" t="str">
        <x:v>Control bypass</x:v>
      </x:c>
      <x:c r="F3" s="38" t="str">
        <x:v>HIGH</x:v>
      </x:c>
      <x:c r="G3" s="38" t="str">
        <x:v>Always HIGH unless an exact approved-automation exception exists</x:v>
      </x:c>
      <x:c r="H3" s="38" t="str">
        <x:v>A protected-branch policy was bypassed; can allow a change outside normal branch rules.</x:v>
      </x:c>
      <x:c r="I3" s="38" t="str">
        <x:v>High-priority review queue; repo drilldown; trend</x:v>
      </x:c>
      <x:c r="J3" s="38" t="str">
        <x:v>P0</x:v>
      </x:c>
      <x:c r="K3" s="38" t="str">
        <x:v>Already classified</x:v>
      </x:c>
      <x:c r="L3" s="38" t="str">
        <x:v>Approved automation may be MEDIUM only through exact actor + action exception.</x:v>
      </x:c>
      <x:c r="M3" s="38" t="str">
        <x:v>https://docs.github.com/en/enterprise-cloud@latest/organizations/keeping-your-organization-secure/managing-security-settings-for-your-organization/audit-log-events-for-your-organization</x:v>
      </x:c>
    </x:row>
    <x:row r="4" ht="42" customHeight="1">
      <x:c r="A4" s="38" t="str">
        <x:v>P0-02</x:v>
      </x:c>
      <x:c r="B4" s="38" t="str">
        <x:v>Branch &amp; merge controls</x:v>
      </x:c>
      <x:c r="C4" s="38" t="str">
        <x:v>protected_branch.* (excluding policy_override)</x:v>
      </x:c>
      <x:c r="D4" s="38" t="str">
        <x:v>Repository</x:v>
      </x:c>
      <x:c r="E4" s="38" t="str">
        <x:v>Control configuration change</x:v>
      </x:c>
      <x:c r="F4" s="38" t="str">
        <x:v>MEDIUM</x:v>
      </x:c>
      <x:c r="G4" s="38" t="str">
        <x:v>HIGH if the change weakens a mandatory control; otherwise MEDIUM</x:v>
      </x:c>
      <x:c r="H4" s="38" t="str">
        <x:v>Branch protection settings changed, such as reviews, restrictions, signatures, or enforcement.</x:v>
      </x:c>
      <x:c r="I4" s="38" t="str">
        <x:v>Trend; repo drilldown; control-change table</x:v>
      </x:c>
      <x:c r="J4" s="38" t="str">
        <x:v>P0</x:v>
      </x:c>
      <x:c r="K4" s="38" t="str">
        <x:v>Already classified</x:v>
      </x:c>
      <x:c r="L4" s="38" t="str">
        <x:v>Split later by concrete sub-action after action inventory confirms which ones weaken controls.</x:v>
      </x:c>
      <x:c r="M4" s="38" t="str">
        <x:v>https://docs.github.com/en/enterprise-cloud@latest/organizations/keeping-your-organization-secure/managing-security-settings-for-your-organization/audit-log-events-for-your-organization</x:v>
      </x:c>
    </x:row>
    <x:row r="5" ht="42" customHeight="1">
      <x:c r="A5" s="38" t="str">
        <x:v>P0-03</x:v>
      </x:c>
      <x:c r="B5" s="38" t="str">
        <x:v>Branch &amp; merge controls</x:v>
      </x:c>
      <x:c r="C5" s="38" t="str">
        <x:v>required_status_check.*</x:v>
      </x:c>
      <x:c r="D5" s="38" t="str">
        <x:v>Repository</x:v>
      </x:c>
      <x:c r="E5" s="38" t="str">
        <x:v>Control configuration change</x:v>
      </x:c>
      <x:c r="F5" s="38" t="str">
        <x:v>MEDIUM</x:v>
      </x:c>
      <x:c r="G5" s="38" t="str">
        <x:v>HIGH if required checks are removed or bypassed</x:v>
      </x:c>
      <x:c r="H5" s="38" t="str">
        <x:v>Required status checks changed; can weaken merge gating.</x:v>
      </x:c>
      <x:c r="I5" s="38" t="str">
        <x:v>Trend; repo drilldown; control-change table</x:v>
      </x:c>
      <x:c r="J5" s="38" t="str">
        <x:v>P0</x:v>
      </x:c>
      <x:c r="K5" s="38" t="str">
        <x:v>Already classified</x:v>
      </x:c>
      <x:c r="L5" s="38" t="str">
        <x:v>Use detailed rule mapping after source action inventory identifies destructive variants.</x:v>
      </x:c>
      <x:c r="M5" s="38" t="str">
        <x:v>https://docs.github.com/en/enterprise-cloud@latest/organizations/keeping-your-organization-secure/managing-security-settings-for-your-organization/audit-log-events-for-your-organization</x:v>
      </x:c>
    </x:row>
    <x:row r="6" ht="42" customHeight="1">
      <x:c r="A6" s="38" t="str">
        <x:v>P0-04</x:v>
      </x:c>
      <x:c r="B6" s="38" t="str">
        <x:v>Branch &amp; merge controls</x:v>
      </x:c>
      <x:c r="C6" s="38" t="str">
        <x:v>repo.change_merge_setting</x:v>
      </x:c>
      <x:c r="D6" s="38" t="str">
        <x:v>Repository</x:v>
      </x:c>
      <x:c r="E6" s="38" t="str">
        <x:v>Merge control change</x:v>
      </x:c>
      <x:c r="F6" s="38" t="str">
        <x:v>HIGH</x:v>
      </x:c>
      <x:c r="G6" s="38" t="str">
        <x:v>MEDIUM for exact approved provisioning automation; HIGH for non-approved actor</x:v>
      </x:c>
      <x:c r="H6" s="38" t="str">
        <x:v>Merge method or merge-setting policy changed for a repository.</x:v>
      </x:c>
      <x:c r="I6" s="38" t="str">
        <x:v>High-priority queue; repo drilldown</x:v>
      </x:c>
      <x:c r="J6" s="38" t="str">
        <x:v>P0</x:v>
      </x:c>
      <x:c r="K6" s="38" t="str">
        <x:v>Already classified</x:v>
      </x:c>
      <x:c r="L6" s="38" t="str">
        <x:v>Existing four reviewed automation patterns go to MEDIUM.</x:v>
      </x:c>
      <x:c r="M6" s="38" t="str">
        <x:v>https://docs.github.com/en/enterprise-cloud@latest/organizations/keeping-your-organization-secure/managing-security-settings-for-your-organization/audit-log-events-for-your-organization</x:v>
      </x:c>
    </x:row>
    <x:row r="7" ht="42" customHeight="1">
      <x:c r="A7" s="38" t="str">
        <x:v>SEC-01</x:v>
      </x:c>
      <x:c r="B7" s="38" t="str">
        <x:v>Advanced Security posture</x:v>
      </x:c>
      <x:c r="C7" s="38" t="str">
        <x:v>repo.advanced_security_disabled</x:v>
      </x:c>
      <x:c r="D7" s="38" t="str">
        <x:v>Repository</x:v>
      </x:c>
      <x:c r="E7" s="38" t="str">
        <x:v>Security feature disabled</x:v>
      </x:c>
      <x:c r="F7" s="38" t="str">
        <x:v>CRITICAL</x:v>
      </x:c>
      <x:c r="G7" s="38" t="str">
        <x:v>Manual disable = CRITICAL</x:v>
      </x:c>
      <x:c r="H7" s="38" t="str">
        <x:v>GitHub Advanced Security was disabled for a repository, reducing code-security coverage.</x:v>
      </x:c>
      <x:c r="I7" s="38" t="str">
        <x:v>Critical queue; security posture KPI; repo drilldown</x:v>
      </x:c>
      <x:c r="J7" s="38" t="str">
        <x:v>P1</x:v>
      </x:c>
      <x:c r="K7" s="38" t="str">
        <x:v>Candidate - validate in data</x:v>
      </x:c>
      <x:c r="L7" s="38" t="str">
        <x:v>Do not lower without explicit security-owner approval.</x:v>
      </x:c>
      <x:c r="M7" s="38" t="str">
        <x:v>https://docs.github.com/en/enterprise-cloud@latest/organizations/keeping-your-organization-secure/managing-security-settings-for-your-organization/audit-log-events-for-your-organization</x:v>
      </x:c>
    </x:row>
    <x:row r="8" ht="42" customHeight="1">
      <x:c r="A8" s="38" t="str">
        <x:v>SEC-02</x:v>
      </x:c>
      <x:c r="B8" s="38" t="str">
        <x:v>Advanced Security posture</x:v>
      </x:c>
      <x:c r="C8" s="38" t="str">
        <x:v>org.advanced_security_disabled_on_all_repos</x:v>
      </x:c>
      <x:c r="D8" s="38" t="str">
        <x:v>Organization</x:v>
      </x:c>
      <x:c r="E8" s="38" t="str">
        <x:v>Security feature disabled</x:v>
      </x:c>
      <x:c r="F8" s="38" t="str">
        <x:v>CRITICAL</x:v>
      </x:c>
      <x:c r="G8" s="38" t="str">
        <x:v>Manual disable = CRITICAL</x:v>
      </x:c>
      <x:c r="H8" s="38" t="str">
        <x:v>GitHub Advanced Security was disabled across all repositories in an organization.</x:v>
      </x:c>
      <x:c r="I8" s="38" t="str">
        <x:v>Critical queue; executive alert; org drilldown</x:v>
      </x:c>
      <x:c r="J8" s="38" t="str">
        <x:v>P1</x:v>
      </x:c>
      <x:c r="K8" s="38" t="str">
        <x:v>Candidate - validate in data</x:v>
      </x:c>
      <x:c r="L8" s="38" t="str">
        <x:v>Enterprise-scale impact; include actor and org prominently.</x:v>
      </x:c>
      <x:c r="M8" s="38" t="str">
        <x:v>https://docs.github.com/en/enterprise-cloud@latest/organizations/keeping-your-organization-secure/managing-security-settings-for-your-organization/audit-log-events-for-your-organization</x:v>
      </x:c>
    </x:row>
    <x:row r="9" ht="42" customHeight="1">
      <x:c r="A9" s="38" t="str">
        <x:v>SEC-03</x:v>
      </x:c>
      <x:c r="B9" s="38" t="str">
        <x:v>Advanced Security posture</x:v>
      </x:c>
      <x:c r="C9" s="38" t="str">
        <x:v>org.advanced_security_disabled_for_new_repos</x:v>
      </x:c>
      <x:c r="D9" s="38" t="str">
        <x:v>Organization</x:v>
      </x:c>
      <x:c r="E9" s="38" t="str">
        <x:v>Default coverage disabled</x:v>
      </x:c>
      <x:c r="F9" s="38" t="str">
        <x:v>CRITICAL</x:v>
      </x:c>
      <x:c r="G9" s="38" t="str">
        <x:v>Manual disable = CRITICAL</x:v>
      </x:c>
      <x:c r="H9" s="38" t="str">
        <x:v>New repositories will no longer receive Advanced Security by default.</x:v>
      </x:c>
      <x:c r="I9" s="38" t="str">
        <x:v>Critical queue; posture trend</x:v>
      </x:c>
      <x:c r="J9" s="38" t="str">
        <x:v>P1</x:v>
      </x:c>
      <x:c r="K9" s="38" t="str">
        <x:v>Candidate - validate in data</x:v>
      </x:c>
      <x:c r="L9" s="38" t="str">
        <x:v>Configuration affects future repo onboarding.</x:v>
      </x:c>
      <x:c r="M9" s="38" t="str">
        <x:v>https://docs.github.com/en/enterprise-cloud@latest/organizations/keeping-your-organization-secure/managing-security-settings-for-your-organization/audit-log-events-for-your-organization</x:v>
      </x:c>
    </x:row>
    <x:row r="10" ht="42" customHeight="1">
      <x:c r="A10" s="38" t="str">
        <x:v>SEC-04</x:v>
      </x:c>
      <x:c r="B10" s="38" t="str">
        <x:v>Advanced Security posture</x:v>
      </x:c>
      <x:c r="C10" s="38" t="str">
        <x:v>business_advanced_security.disabled_for_new_repos</x:v>
      </x:c>
      <x:c r="D10" s="38" t="str">
        <x:v>Enterprise</x:v>
      </x:c>
      <x:c r="E10" s="38" t="str">
        <x:v>Default coverage disabled</x:v>
      </x:c>
      <x:c r="F10" s="38" t="str">
        <x:v>CRITICAL</x:v>
      </x:c>
      <x:c r="G10" s="38" t="str">
        <x:v>Manual disable = CRITICAL</x:v>
      </x:c>
      <x:c r="H10" s="38" t="str">
        <x:v>New repositories in the enterprise will no longer receive Advanced Security by default.</x:v>
      </x:c>
      <x:c r="I10" s="38" t="str">
        <x:v>Critical queue; enterprise posture</x:v>
      </x:c>
      <x:c r="J10" s="38" t="str">
        <x:v>P1</x:v>
      </x:c>
      <x:c r="K10" s="38" t="str">
        <x:v>Candidate - validate in data</x:v>
      </x:c>
      <x:c r="L10" s="38" t="str">
        <x:v>Use if enterprise-level events are present in your stream.</x:v>
      </x:c>
      <x:c r="M10" s="38" t="str">
        <x:v>https://docs.github.com/en/enterprise-cloud@latest/admin/monitoring-activity-in-your-enterprise/reviewing-audit-logs-for-your-enterprise/audit-log-events-for-your-enterprise</x:v>
      </x:c>
    </x:row>
    <x:row r="11" ht="42" customHeight="1">
      <x:c r="A11" s="38" t="str">
        <x:v>SEC-05</x:v>
      </x:c>
      <x:c r="B11" s="38" t="str">
        <x:v>Advanced Security posture</x:v>
      </x:c>
      <x:c r="C11" s="38" t="str">
        <x:v>org.advanced_security_entity_policy_update</x:v>
      </x:c>
      <x:c r="D11" s="38" t="str">
        <x:v>Organization</x:v>
      </x:c>
      <x:c r="E11" s="38" t="str">
        <x:v>Policy changed</x:v>
      </x:c>
      <x:c r="F11" s="38" t="str">
        <x:v>HIGH</x:v>
      </x:c>
      <x:c r="G11" s="38" t="str">
        <x:v>CRITICAL if policy change removes access/coverage broadly</x:v>
      </x:c>
      <x:c r="H11" s="38" t="str">
        <x:v>Enterprise owner changed access policy for code security on repositories in the organization.</x:v>
      </x:c>
      <x:c r="I11" s="38" t="str">
        <x:v>Review queue; policy-change table</x:v>
      </x:c>
      <x:c r="J11" s="38" t="str">
        <x:v>P1</x:v>
      </x:c>
      <x:c r="K11" s="38" t="str">
        <x:v>Candidate - validate in data</x:v>
      </x:c>
      <x:c r="L11" s="38" t="str">
        <x:v>Review new_policy field before exact severity split.</x:v>
      </x:c>
      <x:c r="M11" s="38" t="str">
        <x:v>https://docs.github.com/en/enterprise-cloud@latest/organizations/keeping-your-organization-secure/managing-security-settings-for-your-organization/audit-log-events-for-your-organization</x:v>
      </x:c>
    </x:row>
    <x:row r="12" ht="42" customHeight="1">
      <x:c r="A12" s="38" t="str">
        <x:v>SEC-06</x:v>
      </x:c>
      <x:c r="B12" s="38" t="str">
        <x:v>Advanced Security posture</x:v>
      </x:c>
      <x:c r="C12" s="38" t="str">
        <x:v>repository_security_configuration.removed</x:v>
      </x:c>
      <x:c r="D12" s="38" t="str">
        <x:v>Repository</x:v>
      </x:c>
      <x:c r="E12" s="38" t="str">
        <x:v>Security configuration removed</x:v>
      </x:c>
      <x:c r="F12" s="38" t="str">
        <x:v>CRITICAL</x:v>
      </x:c>
      <x:c r="G12" s="38" t="str">
        <x:v>Manual removal = CRITICAL</x:v>
      </x:c>
      <x:c r="H12" s="38" t="str">
        <x:v>A code security configuration was removed from a repository.</x:v>
      </x:c>
      <x:c r="I12" s="38" t="str">
        <x:v>Critical queue; repo drilldown</x:v>
      </x:c>
      <x:c r="J12" s="38" t="str">
        <x:v>P1</x:v>
      </x:c>
      <x:c r="K12" s="38" t="str">
        <x:v>Candidate - validate in data</x:v>
      </x:c>
      <x:c r="L12" s="38" t="str">
        <x:v>Security configuration may bundle CodeQL, secret scanning, Dependabot, and policy settings.</x:v>
      </x:c>
      <x:c r="M12" s="38" t="str">
        <x:v>https://docs.github.com/en/enterprise-cloud@latest/organizations/keeping-your-organization-secure/managing-security-settings-for-your-organization/audit-log-events-for-your-organization</x:v>
      </x:c>
    </x:row>
    <x:row r="13" ht="42" customHeight="1">
      <x:c r="A13" s="38" t="str">
        <x:v>SEC-07</x:v>
      </x:c>
      <x:c r="B13" s="38" t="str">
        <x:v>Advanced Security posture</x:v>
      </x:c>
      <x:c r="C13" s="38" t="str">
        <x:v>repository_security_configuration.removed_by_settings_change</x:v>
      </x:c>
      <x:c r="D13" s="38" t="str">
        <x:v>Repository</x:v>
      </x:c>
      <x:c r="E13" s="38" t="str">
        <x:v>Security configuration removed indirectly</x:v>
      </x:c>
      <x:c r="F13" s="38" t="str">
        <x:v>CRITICAL</x:v>
      </x:c>
      <x:c r="G13" s="38" t="str">
        <x:v>Manual settings change resulting in removal = CRITICAL</x:v>
      </x:c>
      <x:c r="H13" s="38" t="str">
        <x:v>A code security configuration was removed because a repository or enterprise setting changed.</x:v>
      </x:c>
      <x:c r="I13" s="38" t="str">
        <x:v>Critical queue; root-cause review</x:v>
      </x:c>
      <x:c r="J13" s="38" t="str">
        <x:v>P1</x:v>
      </x:c>
      <x:c r="K13" s="38" t="str">
        <x:v>Candidate - validate in data</x:v>
      </x:c>
      <x:c r="L13" s="38" t="str">
        <x:v>Capture configuration name and failure/removal reason fields.</x:v>
      </x:c>
      <x:c r="M13" s="38" t="str">
        <x:v>https://docs.github.com/en/enterprise-cloud@latest/organizations/keeping-your-organization-secure/managing-security-settings-for-your-organization/audit-log-events-for-your-organization</x:v>
      </x:c>
    </x:row>
    <x:row r="14" ht="42" customHeight="1">
      <x:c r="A14" s="38" t="str">
        <x:v>SEC-08</x:v>
      </x:c>
      <x:c r="B14" s="38" t="str">
        <x:v>Advanced Security posture</x:v>
      </x:c>
      <x:c r="C14" s="38" t="str">
        <x:v>repository_security_configuration.failed</x:v>
      </x:c>
      <x:c r="D14" s="38" t="str">
        <x:v>Repository</x:v>
      </x:c>
      <x:c r="E14" s="38" t="str">
        <x:v>Configuration apply failed</x:v>
      </x:c>
      <x:c r="F14" s="38" t="str">
        <x:v>HIGH</x:v>
      </x:c>
      <x:c r="G14" s="38" t="str">
        <x:v>HIGH when mandatory configuration fails; otherwise MEDIUM</x:v>
      </x:c>
      <x:c r="H14" s="38" t="str">
        <x:v>A code-security configuration could not attach to the repository.</x:v>
      </x:c>
      <x:c r="I14" s="38" t="str">
        <x:v>Posture failure KPI; repo drilldown</x:v>
      </x:c>
      <x:c r="J14" s="38" t="str">
        <x:v>P1</x:v>
      </x:c>
      <x:c r="K14" s="38" t="str">
        <x:v>Candidate - validate in data</x:v>
      </x:c>
      <x:c r="L14" s="38" t="str">
        <x:v>Treat as coverage gap, not a confirmed incident.</x:v>
      </x:c>
      <x:c r="M14" s="38" t="str">
        <x:v>https://docs.github.com/en/enterprise-cloud@latest/organizations/keeping-your-organization-secure/managing-security-settings-for-your-organization/audit-log-events-for-your-organization</x:v>
      </x:c>
    </x:row>
    <x:row r="15" ht="42" customHeight="1">
      <x:c r="A15" s="38" t="str">
        <x:v>SEC-09</x:v>
      </x:c>
      <x:c r="B15" s="38" t="str">
        <x:v>Advanced Security posture</x:v>
      </x:c>
      <x:c r="C15" s="38" t="str">
        <x:v>repository_security_configuration.applied</x:v>
      </x:c>
      <x:c r="D15" s="38" t="str">
        <x:v>Repository</x:v>
      </x:c>
      <x:c r="E15" s="38" t="str">
        <x:v>Security configuration applied</x:v>
      </x:c>
      <x:c r="F15" s="38" t="str">
        <x:v>LOW</x:v>
      </x:c>
      <x:c r="G15" s="38" t="str">
        <x:v>Informational unless replacing a stricter baseline</x:v>
      </x:c>
      <x:c r="H15" s="38" t="str">
        <x:v>A code-security configuration was applied to a repository.</x:v>
      </x:c>
      <x:c r="I15" s="38" t="str">
        <x:v>Coverage trend; repo drilldown</x:v>
      </x:c>
      <x:c r="J15" s="38" t="str">
        <x:v>P2</x:v>
      </x:c>
      <x:c r="K15" s="38" t="str">
        <x:v>Candidate - validate in data</x:v>
      </x:c>
      <x:c r="L15" s="38" t="str">
        <x:v>Useful for adoption dashboard rather than review queue.</x:v>
      </x:c>
      <x:c r="M15" s="38" t="str">
        <x:v>https://docs.github.com/en/enterprise-cloud@latest/organizations/keeping-your-organization-secure/managing-security-settings-for-your-organization/audit-log-events-for-your-organization</x:v>
      </x:c>
    </x:row>
    <x:row r="16" ht="42" customHeight="1">
      <x:c r="A16" s="38" t="str">
        <x:v>SEC-10</x:v>
      </x:c>
      <x:c r="B16" s="38" t="str">
        <x:v>Secret protection</x:v>
      </x:c>
      <x:c r="C16" s="38" t="str">
        <x:v>repository_secret_scanning_push_protection.disable</x:v>
      </x:c>
      <x:c r="D16" s="38" t="str">
        <x:v>Repository</x:v>
      </x:c>
      <x:c r="E16" s="38" t="str">
        <x:v>Security control disabled</x:v>
      </x:c>
      <x:c r="F16" s="38" t="str">
        <x:v>CRITICAL</x:v>
      </x:c>
      <x:c r="G16" s="38" t="str">
        <x:v>Manual disable = CRITICAL</x:v>
      </x:c>
      <x:c r="H16" s="38" t="str">
        <x:v>Secret scanning push protection was disabled for a repository, allowing future pushes with detected secrets.</x:v>
      </x:c>
      <x:c r="I16" s="38" t="str">
        <x:v>Critical queue; security posture KPI; repo drilldown</x:v>
      </x:c>
      <x:c r="J16" s="38" t="str">
        <x:v>P1</x:v>
      </x:c>
      <x:c r="K16" s="38" t="str">
        <x:v>Candidate - validate in data</x:v>
      </x:c>
      <x:c r="L16" s="38" t="str">
        <x:v>Manager-requested control. Capture actor, repo, org, and any reason fields.</x:v>
      </x:c>
      <x:c r="M16" s="38" t="str">
        <x:v>https://docs.github.com/en/enterprise-cloud@latest/organizations/keeping-your-organization-secure/managing-security-settings-for-your-organization/audit-log-events-for-your-organization</x:v>
      </x:c>
    </x:row>
    <x:row r="17" ht="42" customHeight="1">
      <x:c r="A17" s="38" t="str">
        <x:v>SEC-11</x:v>
      </x:c>
      <x:c r="B17" s="38" t="str">
        <x:v>Secret protection</x:v>
      </x:c>
      <x:c r="C17" s="38" t="str">
        <x:v>org.secret_scanning_push_protection_disable</x:v>
      </x:c>
      <x:c r="D17" s="38" t="str">
        <x:v>Organization</x:v>
      </x:c>
      <x:c r="E17" s="38" t="str">
        <x:v>Security control disabled</x:v>
      </x:c>
      <x:c r="F17" s="38" t="str">
        <x:v>CRITICAL</x:v>
      </x:c>
      <x:c r="G17" s="38" t="str">
        <x:v>Manual disable = CRITICAL</x:v>
      </x:c>
      <x:c r="H17" s="38" t="str">
        <x:v>Secret scanning push protection was disabled at organization level.</x:v>
      </x:c>
      <x:c r="I17" s="38" t="str">
        <x:v>Critical queue; org posture</x:v>
      </x:c>
      <x:c r="J17" s="38" t="str">
        <x:v>P1</x:v>
      </x:c>
      <x:c r="K17" s="38" t="str">
        <x:v>Candidate - validate in data</x:v>
      </x:c>
      <x:c r="L17" s="38" t="str">
        <x:v>Name may vary by deployment; verify exact action in raw data.</x:v>
      </x:c>
      <x:c r="M17" s="38" t="str">
        <x:v>https://docs.github.com/en/enterprise-cloud@latest/admin/monitoring-activity-in-your-enterprise/reviewing-audit-logs-for-your-enterprise/audit-log-events-for-your-enterprise</x:v>
      </x:c>
    </x:row>
    <x:row r="18" ht="42" customHeight="1">
      <x:c r="A18" s="38" t="str">
        <x:v>SEC-12</x:v>
      </x:c>
      <x:c r="B18" s="38" t="str">
        <x:v>Secret protection</x:v>
      </x:c>
      <x:c r="C18" s="38" t="str">
        <x:v>business_secret_scanning_push_protection.disable</x:v>
      </x:c>
      <x:c r="D18" s="38" t="str">
        <x:v>Enterprise</x:v>
      </x:c>
      <x:c r="E18" s="38" t="str">
        <x:v>Security control disabled</x:v>
      </x:c>
      <x:c r="F18" s="38" t="str">
        <x:v>CRITICAL</x:v>
      </x:c>
      <x:c r="G18" s="38" t="str">
        <x:v>Manual disable = CRITICAL</x:v>
      </x:c>
      <x:c r="H18" s="38" t="str">
        <x:v>Enterprise-wide secret-scanning push protection was disabled.</x:v>
      </x:c>
      <x:c r="I18" s="38" t="str">
        <x:v>Critical queue; enterprise posture</x:v>
      </x:c>
      <x:c r="J18" s="38" t="str">
        <x:v>P1</x:v>
      </x:c>
      <x:c r="K18" s="38" t="str">
        <x:v>Candidate - validate in data</x:v>
      </x:c>
      <x:c r="L18" s="38" t="str">
        <x:v>Enterprise-level blast radius.</x:v>
      </x:c>
      <x:c r="M18" s="38" t="str">
        <x:v>https://docs.github.com/en/enterprise-cloud@latest/admin/monitoring-activity-in-your-enterprise/reviewing-audit-logs-for-your-enterprise/audit-log-events-for-your-enterprise</x:v>
      </x:c>
    </x:row>
    <x:row r="19" ht="42" customHeight="1">
      <x:c r="A19" s="38" t="str">
        <x:v>SEC-13</x:v>
      </x:c>
      <x:c r="B19" s="38" t="str">
        <x:v>Secret protection</x:v>
      </x:c>
      <x:c r="C19" s="38" t="str">
        <x:v>business_secret_scanning_push_protection.disabled_for_new_repos</x:v>
      </x:c>
      <x:c r="D19" s="38" t="str">
        <x:v>Enterprise</x:v>
      </x:c>
      <x:c r="E19" s="38" t="str">
        <x:v>Default coverage disabled</x:v>
      </x:c>
      <x:c r="F19" s="38" t="str">
        <x:v>CRITICAL</x:v>
      </x:c>
      <x:c r="G19" s="38" t="str">
        <x:v>Manual disable = CRITICAL</x:v>
      </x:c>
      <x:c r="H19" s="38" t="str">
        <x:v>Push protection was disabled for new repositories in the enterprise.</x:v>
      </x:c>
      <x:c r="I19" s="38" t="str">
        <x:v>Critical queue; onboarding posture</x:v>
      </x:c>
      <x:c r="J19" s="38" t="str">
        <x:v>P1</x:v>
      </x:c>
      <x:c r="K19" s="38" t="str">
        <x:v>Candidate - validate in data</x:v>
      </x:c>
      <x:c r="L19" s="38" t="str">
        <x:v>Future-repository coverage gap.</x:v>
      </x:c>
      <x:c r="M19" s="38" t="str">
        <x:v>https://docs.github.com/en/enterprise-cloud@latest/admin/monitoring-activity-in-your-enterprise/reviewing-audit-logs-for-your-enterprise/audit-log-events-for-your-enterprise</x:v>
      </x:c>
    </x:row>
    <x:row r="20" ht="42" customHeight="1">
      <x:c r="A20" s="38" t="str">
        <x:v>SEC-14</x:v>
      </x:c>
      <x:c r="B20" s="38" t="str">
        <x:v>Secret protection</x:v>
      </x:c>
      <x:c r="C20" s="38" t="str">
        <x:v>repository_secret_scanning_push_protection_bypass_list.disable</x:v>
      </x:c>
      <x:c r="D20" s="38" t="str">
        <x:v>Repository</x:v>
      </x:c>
      <x:c r="E20" s="38" t="str">
        <x:v>Bypass widened</x:v>
      </x:c>
      <x:c r="F20" s="38" t="str">
        <x:v>CRITICAL</x:v>
      </x:c>
      <x:c r="G20" s="38" t="str">
        <x:v>Manual widen-to-anyone-with-write = CRITICAL</x:v>
      </x:c>
      <x:c r="H20" s="38" t="str">
        <x:v>Push-protection bypass changed from specific roles/teams to anyone with write access.</x:v>
      </x:c>
      <x:c r="I20" s="38" t="str">
        <x:v>Critical queue; access-control review</x:v>
      </x:c>
      <x:c r="J20" s="38" t="str">
        <x:v>P1</x:v>
      </x:c>
      <x:c r="K20" s="38" t="str">
        <x:v>Candidate - validate in data</x:v>
      </x:c>
      <x:c r="L20" s="38" t="str">
        <x:v>Directly weakens bypass governance.</x:v>
      </x:c>
      <x:c r="M20" s="38" t="str">
        <x:v>https://docs.github.com/en/enterprise-cloud@latest/organizations/keeping-your-organization-secure/managing-security-settings-for-your-organization/audit-log-events-for-your-organization</x:v>
      </x:c>
    </x:row>
    <x:row r="21" ht="42" customHeight="1">
      <x:c r="A21" s="38" t="str">
        <x:v>SEC-15</x:v>
      </x:c>
      <x:c r="B21" s="38" t="str">
        <x:v>Secret protection</x:v>
      </x:c>
      <x:c r="C21" s="38" t="str">
        <x:v>repository_secret_scanning_push_protection_bypass_list.add</x:v>
      </x:c>
      <x:c r="D21" s="38" t="str">
        <x:v>Repository</x:v>
      </x:c>
      <x:c r="E21" s="38" t="str">
        <x:v>Bypass membership expanded</x:v>
      </x:c>
      <x:c r="F21" s="38" t="str">
        <x:v>HIGH</x:v>
      </x:c>
      <x:c r="G21" s="38" t="str">
        <x:v>HIGH; CRITICAL for broad role / admin-like team after review</x:v>
      </x:c>
      <x:c r="H21" s="38" t="str">
        <x:v>A role or team was added to the push-protection bypass list.</x:v>
      </x:c>
      <x:c r="I21" s="38" t="str">
        <x:v>Review queue; repo drilldown</x:v>
      </x:c>
      <x:c r="J21" s="38" t="str">
        <x:v>P1</x:v>
      </x:c>
      <x:c r="K21" s="38" t="str">
        <x:v>Candidate - validate in data</x:v>
      </x:c>
      <x:c r="L21" s="38" t="str">
        <x:v>Capture affected role/team where available.</x:v>
      </x:c>
      <x:c r="M21" s="38" t="str">
        <x:v>https://docs.github.com/en/enterprise-cloud@latest/organizations/keeping-your-organization-secure/managing-security-settings-for-your-organization/audit-log-events-for-your-organization</x:v>
      </x:c>
    </x:row>
    <x:row r="22" ht="42" customHeight="1">
      <x:c r="A22" s="38" t="str">
        <x:v>SEC-16</x:v>
      </x:c>
      <x:c r="B22" s="38" t="str">
        <x:v>Secret protection</x:v>
      </x:c>
      <x:c r="C22" s="38" t="str">
        <x:v>repository_secret_scanning_push_protection_bypass_list.remove</x:v>
      </x:c>
      <x:c r="D22" s="38" t="str">
        <x:v>Repository</x:v>
      </x:c>
      <x:c r="E22" s="38" t="str">
        <x:v>Bypass membership reduced</x:v>
      </x:c>
      <x:c r="F22" s="38" t="str">
        <x:v>LOW</x:v>
      </x:c>
      <x:c r="G22" s="38" t="str">
        <x:v>LOW</x:v>
      </x:c>
      <x:c r="H22" s="38" t="str">
        <x:v>A role or team was removed from the push-protection bypass list.</x:v>
      </x:c>
      <x:c r="I22" s="38" t="str">
        <x:v>Audit trail; repo drilldown</x:v>
      </x:c>
      <x:c r="J22" s="38" t="str">
        <x:v>P2</x:v>
      </x:c>
      <x:c r="K22" s="38" t="str">
        <x:v>Candidate - validate in data</x:v>
      </x:c>
      <x:c r="L22" s="38" t="str">
        <x:v>Positive hardening event.</x:v>
      </x:c>
      <x:c r="M22" s="38" t="str">
        <x:v>https://docs.github.com/en/enterprise-cloud@latest/organizations/keeping-your-organization-secure/managing-security-settings-for-your-organization/audit-log-events-for-your-organization</x:v>
      </x:c>
    </x:row>
    <x:row r="23" ht="42" customHeight="1">
      <x:c r="A23" s="38" t="str">
        <x:v>SEC-17</x:v>
      </x:c>
      <x:c r="B23" s="38" t="str">
        <x:v>Secret protection</x:v>
      </x:c>
      <x:c r="C23" s="38" t="str">
        <x:v>org.secret_scanning_custom_pattern_push_protection_disabled</x:v>
      </x:c>
      <x:c r="D23" s="38" t="str">
        <x:v>Organization</x:v>
      </x:c>
      <x:c r="E23" s="38" t="str">
        <x:v>Custom-pattern protection disabled</x:v>
      </x:c>
      <x:c r="F23" s="38" t="str">
        <x:v>CRITICAL</x:v>
      </x:c>
      <x:c r="G23" s="38" t="str">
        <x:v>Manual disable = CRITICAL</x:v>
      </x:c>
      <x:c r="H23" s="38" t="str">
        <x:v>Push protection for a custom secret pattern was disabled at organization level.</x:v>
      </x:c>
      <x:c r="I23" s="38" t="str">
        <x:v>Critical queue; custom-pattern posture</x:v>
      </x:c>
      <x:c r="J23" s="38" t="str">
        <x:v>P1</x:v>
      </x:c>
      <x:c r="K23" s="38" t="str">
        <x:v>Candidate - validate in data</x:v>
      </x:c>
      <x:c r="L23" s="38" t="str">
        <x:v>Custom patterns may cover internal credentials.</x:v>
      </x:c>
      <x:c r="M23" s="38" t="str">
        <x:v>https://docs.github.com/en/enterprise-cloud@latest/organizations/keeping-your-organization-secure/managing-security-settings-for-your-organization/audit-log-events-for-your-organization</x:v>
      </x:c>
    </x:row>
    <x:row r="24" ht="42" customHeight="1">
      <x:c r="A24" s="38" t="str">
        <x:v>SEC-18</x:v>
      </x:c>
      <x:c r="B24" s="38" t="str">
        <x:v>Secret protection</x:v>
      </x:c>
      <x:c r="C24" s="38" t="str">
        <x:v>business_secret_scanning_custom_pattern_push_protection.disabled</x:v>
      </x:c>
      <x:c r="D24" s="38" t="str">
        <x:v>Enterprise</x:v>
      </x:c>
      <x:c r="E24" s="38" t="str">
        <x:v>Custom-pattern protection disabled</x:v>
      </x:c>
      <x:c r="F24" s="38" t="str">
        <x:v>CRITICAL</x:v>
      </x:c>
      <x:c r="G24" s="38" t="str">
        <x:v>Manual disable = CRITICAL</x:v>
      </x:c>
      <x:c r="H24" s="38" t="str">
        <x:v>Push protection for an enterprise custom secret pattern was disabled.</x:v>
      </x:c>
      <x:c r="I24" s="38" t="str">
        <x:v>Critical queue; enterprise posture</x:v>
      </x:c>
      <x:c r="J24" s="38" t="str">
        <x:v>P1</x:v>
      </x:c>
      <x:c r="K24" s="38" t="str">
        <x:v>Candidate - validate in data</x:v>
      </x:c>
      <x:c r="L24" s="38" t="str">
        <x:v>Enterprise equivalent of SEC-17.</x:v>
      </x:c>
      <x:c r="M24" s="38" t="str">
        <x:v>https://docs.github.com/en/enterprise-cloud@latest/admin/monitoring-activity-in-your-enterprise/reviewing-audit-logs-for-your-enterprise/audit-log-events-for-your-enterprise</x:v>
      </x:c>
    </x:row>
    <x:row r="25" ht="42" customHeight="1">
      <x:c r="A25" s="38" t="str">
        <x:v>SEC-19</x:v>
      </x:c>
      <x:c r="B25" s="38" t="str">
        <x:v>Secret protection</x:v>
      </x:c>
      <x:c r="C25" s="38" t="str">
        <x:v>business_secret_scanning.disable / org secret-scanning disable variants</x:v>
      </x:c>
      <x:c r="D25" s="38" t="str">
        <x:v>Enterprise / Org</x:v>
      </x:c>
      <x:c r="E25" s="38" t="str">
        <x:v>Security feature disabled</x:v>
      </x:c>
      <x:c r="F25" s="38" t="str">
        <x:v>CRITICAL</x:v>
      </x:c>
      <x:c r="G25" s="38" t="str">
        <x:v>Manual disable = CRITICAL</x:v>
      </x:c>
      <x:c r="H25" s="38" t="str">
        <x:v>Secret scanning was disabled, reducing detection of exposed credentials.</x:v>
      </x:c>
      <x:c r="I25" s="38" t="str">
        <x:v>Critical queue; posture trend</x:v>
      </x:c>
      <x:c r="J25" s="38" t="str">
        <x:v>P1</x:v>
      </x:c>
      <x:c r="K25" s="38" t="str">
        <x:v>Candidate - validate in data</x:v>
      </x:c>
      <x:c r="L25" s="38" t="str">
        <x:v>Exact organization-level action name needs raw-data verification.</x:v>
      </x:c>
      <x:c r="M25" s="38" t="str">
        <x:v>https://docs.github.com/en/enterprise-cloud@latest/admin/monitoring-activity-in-your-enterprise/reviewing-audit-logs-for-your-enterprise/audit-log-events-for-your-enterprise</x:v>
      </x:c>
    </x:row>
    <x:row r="26" ht="42" customHeight="1">
      <x:c r="A26" s="38" t="str">
        <x:v>SEC-20</x:v>
      </x:c>
      <x:c r="B26" s="38" t="str">
        <x:v>Secret protection</x:v>
      </x:c>
      <x:c r="C26" s="38" t="str">
        <x:v>secret_scanning alert lifecycle + push-protection bypass events</x:v>
      </x:c>
      <x:c r="D26" s="38" t="str">
        <x:v>Repository</x:v>
      </x:c>
      <x:c r="E26" s="38" t="str">
        <x:v>Detection/bypass event</x:v>
      </x:c>
      <x:c r="F26" s="38" t="str">
        <x:v>HIGH</x:v>
      </x:c>
      <x:c r="G26" s="38" t="str">
        <x:v>CRITICAL if active credential confirmed or high-value secret; otherwise HIGH</x:v>
      </x:c>
      <x:c r="H26" s="38" t="str">
        <x:v>A secret alert was created, reopened, or push protection was bypassed.</x:v>
      </x:c>
      <x:c r="I26" s="38" t="str">
        <x:v>Security alerts dashboard; review queue</x:v>
      </x:c>
      <x:c r="J26" s="38" t="str">
        <x:v>P1</x:v>
      </x:c>
      <x:c r="K26" s="38" t="str">
        <x:v>Candidate - validate in data</x:v>
      </x:c>
      <x:c r="L26" s="38" t="str">
        <x:v>Keep alert lifecycle in aggregate; promote bypass events to detailed queue.</x:v>
      </x:c>
      <x:c r="M26" s="38" t="str">
        <x:v>https://docs.github.com/en/code-security/concepts/security-at-scale/auditing-security-alerts</x:v>
      </x:c>
    </x:row>
    <x:row r="27" ht="42" customHeight="1">
      <x:c r="A27" s="38" t="str">
        <x:v>SEC-21</x:v>
      </x:c>
      <x:c r="B27" s="38" t="str">
        <x:v>Code scanning / CodeQL</x:v>
      </x:c>
      <x:c r="C27" s="38" t="str">
        <x:v>repo.codeql_disabled</x:v>
      </x:c>
      <x:c r="D27" s="38" t="str">
        <x:v>Repository</x:v>
      </x:c>
      <x:c r="E27" s="38" t="str">
        <x:v>Security feature disabled</x:v>
      </x:c>
      <x:c r="F27" s="38" t="str">
        <x:v>CRITICAL</x:v>
      </x:c>
      <x:c r="G27" s="38" t="str">
        <x:v>Manual disable = CRITICAL</x:v>
      </x:c>
      <x:c r="H27" s="38" t="str">
        <x:v>Default CodeQL setup was disabled for a repository, stopping automatic code scanning coverage.</x:v>
      </x:c>
      <x:c r="I27" s="38" t="str">
        <x:v>Critical queue; security posture KPI; repo drilldown</x:v>
      </x:c>
      <x:c r="J27" s="38" t="str">
        <x:v>P1</x:v>
      </x:c>
      <x:c r="K27" s="38" t="str">
        <x:v>Candidate - validate in data</x:v>
      </x:c>
      <x:c r="L27" s="38" t="str">
        <x:v>Manager specifically asked for CodeQL settings; capture this first.</x:v>
      </x:c>
      <x:c r="M27" s="38" t="str">
        <x:v>https://docs.github.com/en/enterprise-cloud@latest/organizations/keeping-your-organization-secure/managing-security-settings-for-your-organization/audit-log-events-for-your-organization</x:v>
      </x:c>
    </x:row>
    <x:row r="28" ht="42" customHeight="1">
      <x:c r="A28" s="38" t="str">
        <x:v>SEC-22</x:v>
      </x:c>
      <x:c r="B28" s="38" t="str">
        <x:v>Code scanning / CodeQL</x:v>
      </x:c>
      <x:c r="C28" s="38" t="str">
        <x:v>org.codeql_disabled</x:v>
      </x:c>
      <x:c r="D28" s="38" t="str">
        <x:v>Organization</x:v>
      </x:c>
      <x:c r="E28" s="38" t="str">
        <x:v>Security feature disabled</x:v>
      </x:c>
      <x:c r="F28" s="38" t="str">
        <x:v>CRITICAL</x:v>
      </x:c>
      <x:c r="G28" s="38" t="str">
        <x:v>Manual disable = CRITICAL</x:v>
      </x:c>
      <x:c r="H28" s="38" t="str">
        <x:v>Default CodeQL setup was disabled for an organization.</x:v>
      </x:c>
      <x:c r="I28" s="38" t="str">
        <x:v>Critical queue; org posture</x:v>
      </x:c>
      <x:c r="J28" s="38" t="str">
        <x:v>P1</x:v>
      </x:c>
      <x:c r="K28" s="38" t="str">
        <x:v>Candidate - validate in data</x:v>
      </x:c>
      <x:c r="L28" s="38" t="str">
        <x:v>Organization-wide impact.</x:v>
      </x:c>
      <x:c r="M28" s="38" t="str">
        <x:v>https://docs.github.com/en/enterprise-cloud@latest/organizations/keeping-your-organization-secure/managing-security-settings-for-your-organization/audit-log-events-for-your-organization</x:v>
      </x:c>
    </x:row>
    <x:row r="29" ht="42" customHeight="1">
      <x:c r="A29" s="38" t="str">
        <x:v>SEC-23</x:v>
      </x:c>
      <x:c r="B29" s="38" t="str">
        <x:v>Code scanning / CodeQL</x:v>
      </x:c>
      <x:c r="C29" s="38" t="str">
        <x:v>repo.codeql_updated</x:v>
      </x:c>
      <x:c r="D29" s="38" t="str">
        <x:v>Repository</x:v>
      </x:c>
      <x:c r="E29" s="38" t="str">
        <x:v>Scan configuration changed</x:v>
      </x:c>
      <x:c r="F29" s="38" t="str">
        <x:v>HIGH</x:v>
      </x:c>
      <x:c r="G29" s="38" t="str">
        <x:v>CRITICAL if languages/query suite/threat model reduce mandated coverage</x:v>
      </x:c>
      <x:c r="H29" s="38" t="str">
        <x:v>Default CodeQL setup changed for a repository.</x:v>
      </x:c>
      <x:c r="I29" s="38" t="str">
        <x:v>Review queue; repo drilldown</x:v>
      </x:c>
      <x:c r="J29" s="38" t="str">
        <x:v>P1</x:v>
      </x:c>
      <x:c r="K29" s="38" t="str">
        <x:v>Candidate - validate in data</x:v>
      </x:c>
      <x:c r="L29" s="38" t="str">
        <x:v>Use languages, query_suite, threat_model fields to decide future fine-grained rules.</x:v>
      </x:c>
      <x:c r="M29" s="38" t="str">
        <x:v>https://docs.github.com/en/enterprise-cloud@latest/organizations/keeping-your-organization-secure/managing-security-settings-for-your-organization/audit-log-events-for-your-organization</x:v>
      </x:c>
    </x:row>
    <x:row r="30" ht="42" customHeight="1">
      <x:c r="A30" s="38" t="str">
        <x:v>SEC-24</x:v>
      </x:c>
      <x:c r="B30" s="38" t="str">
        <x:v>Code scanning / CodeQL</x:v>
      </x:c>
      <x:c r="C30" s="38" t="str">
        <x:v>repo.code_scanning_configuration_for_branch_deleted</x:v>
      </x:c>
      <x:c r="D30" s="38" t="str">
        <x:v>Repository</x:v>
      </x:c>
      <x:c r="E30" s="38" t="str">
        <x:v>Scan configuration removed</x:v>
      </x:c>
      <x:c r="F30" s="38" t="str">
        <x:v>HIGH</x:v>
      </x:c>
      <x:c r="G30" s="38" t="str">
        <x:v>CRITICAL if default/main branch configuration is deleted</x:v>
      </x:c>
      <x:c r="H30" s="38" t="str">
        <x:v>A code scanning configuration was deleted for a repository branch.</x:v>
      </x:c>
      <x:c r="I30" s="38" t="str">
        <x:v>Review queue; repo drilldown</x:v>
      </x:c>
      <x:c r="J30" s="38" t="str">
        <x:v>P1</x:v>
      </x:c>
      <x:c r="K30" s="38" t="str">
        <x:v>Candidate - validate in data</x:v>
      </x:c>
      <x:c r="L30" s="38" t="str">
        <x:v>Capture branch, category, and tool.</x:v>
      </x:c>
      <x:c r="M30" s="38" t="str">
        <x:v>https://docs.github.com/en/enterprise-cloud@latest/organizations/keeping-your-organization-secure/managing-security-settings-for-your-organization/audit-log-events-for-your-organization</x:v>
      </x:c>
    </x:row>
    <x:row r="31" ht="42" customHeight="1">
      <x:c r="A31" s="38" t="str">
        <x:v>SEC-25</x:v>
      </x:c>
      <x:c r="B31" s="38" t="str">
        <x:v>Code scanning / CodeQL</x:v>
      </x:c>
      <x:c r="C31" s="38" t="str">
        <x:v>repo.code_scanning_analysis_deleted</x:v>
      </x:c>
      <x:c r="D31" s="38" t="str">
        <x:v>Repository</x:v>
      </x:c>
      <x:c r="E31" s="38" t="str">
        <x:v>Evidence removed</x:v>
      </x:c>
      <x:c r="F31" s="38" t="str">
        <x:v>HIGH</x:v>
      </x:c>
      <x:c r="G31" s="38" t="str">
        <x:v>HIGH; CRITICAL if deletion masks active high-risk findings</x:v>
      </x:c>
      <x:c r="H31" s="38" t="str">
        <x:v>A code scanning analysis was deleted from a repository.</x:v>
      </x:c>
      <x:c r="I31" s="38" t="str">
        <x:v>Review queue; repo drilldown</x:v>
      </x:c>
      <x:c r="J31" s="38" t="str">
        <x:v>P1</x:v>
      </x:c>
      <x:c r="K31" s="38" t="str">
        <x:v>Candidate - validate in data</x:v>
      </x:c>
      <x:c r="L31" s="38" t="str">
        <x:v>Capture tool/category; distinguish cleanup from suspicious deletion.</x:v>
      </x:c>
      <x:c r="M31" s="38" t="str">
        <x:v>https://docs.github.com/en/enterprise-cloud@latest/organizations/keeping-your-organization-secure/managing-security-settings-for-your-organization/audit-log-events-for-your-organization</x:v>
      </x:c>
    </x:row>
    <x:row r="32" ht="42" customHeight="1">
      <x:c r="A32" s="38" t="str">
        <x:v>SEC-26</x:v>
      </x:c>
      <x:c r="B32" s="38" t="str">
        <x:v>Code scanning / CodeQL</x:v>
      </x:c>
      <x:c r="C32" s="38" t="str">
        <x:v>repo.code_scanning_delegated_alert_dismissal_disabled</x:v>
      </x:c>
      <x:c r="D32" s="38" t="str">
        <x:v>Repository</x:v>
      </x:c>
      <x:c r="E32" s="38" t="str">
        <x:v>Governance guardrail disabled</x:v>
      </x:c>
      <x:c r="F32" s="38" t="str">
        <x:v>HIGH</x:v>
      </x:c>
      <x:c r="G32" s="38" t="str">
        <x:v>HIGH</x:v>
      </x:c>
      <x:c r="H32" s="38" t="str">
        <x:v>Prevention of direct code-scanning alert dismissal was disabled.</x:v>
      </x:c>
      <x:c r="I32" s="38" t="str">
        <x:v>Review queue; policy posture</x:v>
      </x:c>
      <x:c r="J32" s="38" t="str">
        <x:v>P1</x:v>
      </x:c>
      <x:c r="K32" s="38" t="str">
        <x:v>Candidate - validate in data</x:v>
      </x:c>
      <x:c r="L32" s="38" t="str">
        <x:v>Weakens alert-governance controls.</x:v>
      </x:c>
      <x:c r="M32" s="38" t="str">
        <x:v>https://docs.github.com/en/enterprise-cloud@latest/organizations/keeping-your-organization-secure/managing-security-settings-for-your-organization/audit-log-events-for-your-organization</x:v>
      </x:c>
    </x:row>
    <x:row r="33" ht="42" customHeight="1">
      <x:c r="A33" s="38" t="str">
        <x:v>SEC-27</x:v>
      </x:c>
      <x:c r="B33" s="38" t="str">
        <x:v>Code scanning / CodeQL</x:v>
      </x:c>
      <x:c r="C33" s="38" t="str">
        <x:v>repo.code_scanning_autofix_disabled</x:v>
      </x:c>
      <x:c r="D33" s="38" t="str">
        <x:v>Repository</x:v>
      </x:c>
      <x:c r="E33" s="38" t="str">
        <x:v>Remediation aid disabled</x:v>
      </x:c>
      <x:c r="F33" s="38" t="str">
        <x:v>MEDIUM</x:v>
      </x:c>
      <x:c r="G33" s="38" t="str">
        <x:v>MEDIUM</x:v>
      </x:c>
      <x:c r="H33" s="38" t="str">
        <x:v>Code-scanning autofix was disabled.</x:v>
      </x:c>
      <x:c r="I33" s="38" t="str">
        <x:v>Posture trend; repo drilldown</x:v>
      </x:c>
      <x:c r="J33" s="38" t="str">
        <x:v>P2</x:v>
      </x:c>
      <x:c r="K33" s="38" t="str">
        <x:v>Candidate - validate in data</x:v>
      </x:c>
      <x:c r="L33" s="38" t="str">
        <x:v>Not loss of scanning itself; do not classify as critical by default.</x:v>
      </x:c>
      <x:c r="M33" s="38" t="str">
        <x:v>https://docs.github.com/en/enterprise-cloud@latest/organizations/keeping-your-organization-secure/managing-security-settings-for-your-organization/audit-log-events-for-your-organization</x:v>
      </x:c>
    </x:row>
    <x:row r="34" ht="42" customHeight="1">
      <x:c r="A34" s="38" t="str">
        <x:v>SEC-28</x:v>
      </x:c>
      <x:c r="B34" s="38" t="str">
        <x:v>Code scanning / CodeQL</x:v>
      </x:c>
      <x:c r="C34" s="38" t="str">
        <x:v>repo.code_scanning_autofix_third_party_tools_disabled</x:v>
      </x:c>
      <x:c r="D34" s="38" t="str">
        <x:v>Repository</x:v>
      </x:c>
      <x:c r="E34" s="38" t="str">
        <x:v>Remediation aid disabled</x:v>
      </x:c>
      <x:c r="F34" s="38" t="str">
        <x:v>MEDIUM</x:v>
      </x:c>
      <x:c r="G34" s="38" t="str">
        <x:v>MEDIUM</x:v>
      </x:c>
      <x:c r="H34" s="38" t="str">
        <x:v>Autofix for third-party code-scanning tools was disabled.</x:v>
      </x:c>
      <x:c r="I34" s="38" t="str">
        <x:v>Posture trend; repo drilldown</x:v>
      </x:c>
      <x:c r="J34" s="38" t="str">
        <x:v>P2</x:v>
      </x:c>
      <x:c r="K34" s="38" t="str">
        <x:v>Candidate - validate in data</x:v>
      </x:c>
      <x:c r="L34" s="38" t="str">
        <x:v>Separate from scan coverage.</x:v>
      </x:c>
      <x:c r="M34" s="38" t="str">
        <x:v>https://docs.github.com/en/enterprise-cloud@latest/organizations/keeping-your-organization-secure/managing-security-settings-for-your-organization/audit-log-events-for-your-organization</x:v>
      </x:c>
    </x:row>
    <x:row r="35" ht="42" customHeight="1">
      <x:c r="A35" s="38" t="str">
        <x:v>SEC-29</x:v>
      </x:c>
      <x:c r="B35" s="38" t="str">
        <x:v>Code scanning / CodeQL</x:v>
      </x:c>
      <x:c r="C35" s="38" t="str">
        <x:v>org.code_scanning_scan_inactive_repos_disabled</x:v>
      </x:c>
      <x:c r="D35" s="38" t="str">
        <x:v>Organization</x:v>
      </x:c>
      <x:c r="E35" s="38" t="str">
        <x:v>Coverage reduced</x:v>
      </x:c>
      <x:c r="F35" s="38" t="str">
        <x:v>HIGH</x:v>
      </x:c>
      <x:c r="G35" s="38" t="str">
        <x:v>HIGH</x:v>
      </x:c>
      <x:c r="H35" s="38" t="str">
        <x:v>Scanning inactive repositories was disabled for an organization.</x:v>
      </x:c>
      <x:c r="I35" s="38" t="str">
        <x:v>Posture trend; governance review</x:v>
      </x:c>
      <x:c r="J35" s="38" t="str">
        <x:v>P1</x:v>
      </x:c>
      <x:c r="K35" s="38" t="str">
        <x:v>Candidate - validate in data</x:v>
      </x:c>
      <x:c r="L35" s="38" t="str">
        <x:v>Can create long-lived blind spots.</x:v>
      </x:c>
      <x:c r="M35" s="38" t="str">
        <x:v>https://docs.github.com/en/enterprise-cloud@latest/organizations/keeping-your-organization-secure/managing-security-settings-for-your-organization/audit-log-events-for-your-organization</x:v>
      </x:c>
    </x:row>
    <x:row r="36" ht="42" customHeight="1">
      <x:c r="A36" s="38" t="str">
        <x:v>SEC-30</x:v>
      </x:c>
      <x:c r="B36" s="38" t="str">
        <x:v>Code scanning / CodeQL</x:v>
      </x:c>
      <x:c r="C36" s="38" t="str">
        <x:v>code_scanning alert lifecycle events</x:v>
      </x:c>
      <x:c r="D36" s="38" t="str">
        <x:v>Repository</x:v>
      </x:c>
      <x:c r="E36" s="38" t="str">
        <x:v>Detection/triage</x:v>
      </x:c>
      <x:c r="F36" s="38" t="str">
        <x:v>MEDIUM</x:v>
      </x:c>
      <x:c r="G36" s="38" t="str">
        <x:v>HIGH for alert dismissal of critical finding; otherwise aggregate</x:v>
      </x:c>
      <x:c r="H36" s="38" t="str">
        <x:v>Code scanning alerts appeared, were dismissed, reopened, or resolved.</x:v>
      </x:c>
      <x:c r="I36" s="38" t="str">
        <x:v>Security alerts dashboard; repo drilldown</x:v>
      </x:c>
      <x:c r="J36" s="38" t="str">
        <x:v>P2</x:v>
      </x:c>
      <x:c r="K36" s="38" t="str">
        <x:v>Candidate - validate in data</x:v>
      </x:c>
      <x:c r="L36" s="38" t="str">
        <x:v>Needs alert metadata ingestion for risk-based prioritization.</x:v>
      </x:c>
      <x:c r="M36" s="38" t="str">
        <x:v>https://docs.github.com/en/code-security/concepts/security-at-scale/auditing-security-alerts</x:v>
      </x:c>
    </x:row>
    <x:row r="37" ht="42" customHeight="1">
      <x:c r="A37" s="38" t="str">
        <x:v>SEC-31</x:v>
      </x:c>
      <x:c r="B37" s="38" t="str">
        <x:v>Dependency security</x:v>
      </x:c>
      <x:c r="C37" s="38" t="str">
        <x:v>repository_security_updates.disable</x:v>
      </x:c>
      <x:c r="D37" s="38" t="str">
        <x:v>Repository</x:v>
      </x:c>
      <x:c r="E37" s="38" t="str">
        <x:v>Security feature disabled</x:v>
      </x:c>
      <x:c r="F37" s="38" t="str">
        <x:v>HIGH</x:v>
      </x:c>
      <x:c r="G37" s="38" t="str">
        <x:v>CRITICAL for policy-mandated repositories; otherwise HIGH</x:v>
      </x:c>
      <x:c r="H37" s="38" t="str">
        <x:v>Dependabot security updates were disabled.</x:v>
      </x:c>
      <x:c r="I37" s="38" t="str">
        <x:v>Review queue; repo drilldown</x:v>
      </x:c>
      <x:c r="J37" s="38" t="str">
        <x:v>P1</x:v>
      </x:c>
      <x:c r="K37" s="38" t="str">
        <x:v>Candidate - validate in data</x:v>
      </x:c>
      <x:c r="L37" s="38" t="str">
        <x:v>Manager decision needed: set CRITICAL globally or by repo tier.</x:v>
      </x:c>
      <x:c r="M37" s="38" t="str">
        <x:v>https://docs.github.com/en/enterprise-cloud@latest/organizations/keeping-your-organization-secure/managing-security-settings-for-your-organization/audit-log-events-for-your-organization</x:v>
      </x:c>
    </x:row>
    <x:row r="38" ht="42" customHeight="1">
      <x:c r="A38" s="38" t="str">
        <x:v>SEC-32</x:v>
      </x:c>
      <x:c r="B38" s="38" t="str">
        <x:v>Dependency security</x:v>
      </x:c>
      <x:c r="C38" s="38" t="str">
        <x:v>Dependabot alerts disable / disabled-for-new-repos variants</x:v>
      </x:c>
      <x:c r="D38" s="38" t="str">
        <x:v>Repo / Org / Enterprise</x:v>
      </x:c>
      <x:c r="E38" s="38" t="str">
        <x:v>Security feature disabled</x:v>
      </x:c>
      <x:c r="F38" s="38" t="str">
        <x:v>CRITICAL</x:v>
      </x:c>
      <x:c r="G38" s="38" t="str">
        <x:v>Manual disable = CRITICAL where audit event is available</x:v>
      </x:c>
      <x:c r="H38" s="38" t="str">
        <x:v>Dependabot vulnerability alerts or default coverage was disabled.</x:v>
      </x:c>
      <x:c r="I38" s="38" t="str">
        <x:v>Critical queue; posture trend</x:v>
      </x:c>
      <x:c r="J38" s="38" t="str">
        <x:v>P1</x:v>
      </x:c>
      <x:c r="K38" s="38" t="str">
        <x:v>Candidate - validate in data</x:v>
      </x:c>
      <x:c r="L38" s="38" t="str">
        <x:v>Exact event names vary by scope and GitHub deployment; validate inventory.</x:v>
      </x:c>
      <x:c r="M38" s="38" t="str">
        <x:v>https://docs.github.com/en/enterprise-cloud@latest/admin/monitoring-activity-in-your-enterprise/reviewing-audit-logs-for-your-enterprise/audit-log-events-for-your-enterprise</x:v>
      </x:c>
    </x:row>
    <x:row r="39" ht="42" customHeight="1">
      <x:c r="A39" s="38" t="str">
        <x:v>SEC-33</x:v>
      </x:c>
      <x:c r="B39" s="38" t="str">
        <x:v>Dependency security</x:v>
      </x:c>
      <x:c r="C39" s="38" t="str">
        <x:v>dependabot alert lifecycle events</x:v>
      </x:c>
      <x:c r="D39" s="38" t="str">
        <x:v>Repository</x:v>
      </x:c>
      <x:c r="E39" s="38" t="str">
        <x:v>Detection/triage</x:v>
      </x:c>
      <x:c r="F39" s="38" t="str">
        <x:v>MEDIUM</x:v>
      </x:c>
      <x:c r="G39" s="38" t="str">
        <x:v>HIGH for critical alert dismissed/ignored without remediation context</x:v>
      </x:c>
      <x:c r="H39" s="38" t="str">
        <x:v>Dependabot alert created, dismissed, reopened, or resolved.</x:v>
      </x:c>
      <x:c r="I39" s="38" t="str">
        <x:v>Security alerts dashboard; aggregate + drilldown</x:v>
      </x:c>
      <x:c r="J39" s="38" t="str">
        <x:v>P2</x:v>
      </x:c>
      <x:c r="K39" s="38" t="str">
        <x:v>Candidate - validate in data</x:v>
      </x:c>
      <x:c r="L39" s="38" t="str">
        <x:v>Requires alert severity/package metadata for precise priority.</x:v>
      </x:c>
      <x:c r="M39" s="38" t="str">
        <x:v>https://docs.github.com/en/code-security/concepts/security-at-scale/auditing-security-alerts</x:v>
      </x:c>
    </x:row>
    <x:row r="40" ht="42" customHeight="1">
      <x:c r="A40" s="38" t="str">
        <x:v>ACC-01</x:v>
      </x:c>
      <x:c r="B40" s="38" t="str">
        <x:v>Access governance</x:v>
      </x:c>
      <x:c r="C40" s="38" t="str">
        <x:v>org.add_member</x:v>
      </x:c>
      <x:c r="D40" s="38" t="str">
        <x:v>Organization</x:v>
      </x:c>
      <x:c r="E40" s="38" t="str">
        <x:v>Access granted</x:v>
      </x:c>
      <x:c r="F40" s="38" t="str">
        <x:v>MEDIUM</x:v>
      </x:c>
      <x:c r="G40" s="38" t="str">
        <x:v>HIGH if owner/admin privilege is granted</x:v>
      </x:c>
      <x:c r="H40" s="38" t="str">
        <x:v>A member was added to an organization.</x:v>
      </x:c>
      <x:c r="I40" s="38" t="str">
        <x:v>Access review; change queue</x:v>
      </x:c>
      <x:c r="J40" s="38" t="str">
        <x:v>P0</x:v>
      </x:c>
      <x:c r="K40" s="38" t="str">
        <x:v>Already classified</x:v>
      </x:c>
      <x:c r="L40" s="38" t="str">
        <x:v>Future enhancement: inspect permission / role fields.</x:v>
      </x:c>
      <x:c r="M40" s="38" t="str">
        <x:v>https://docs.github.com/en/enterprise-cloud@latest/organizations/keeping-your-organization-secure/managing-security-settings-for-your-organization/audit-log-events-for-your-organization</x:v>
      </x:c>
    </x:row>
    <x:row r="41" ht="42" customHeight="1">
      <x:c r="A41" s="38" t="str">
        <x:v>ACC-02</x:v>
      </x:c>
      <x:c r="B41" s="38" t="str">
        <x:v>Access governance</x:v>
      </x:c>
      <x:c r="C41" s="38" t="str">
        <x:v>org.remove_member</x:v>
      </x:c>
      <x:c r="D41" s="38" t="str">
        <x:v>Organization</x:v>
      </x:c>
      <x:c r="E41" s="38" t="str">
        <x:v>Access removed</x:v>
      </x:c>
      <x:c r="F41" s="38" t="str">
        <x:v>LOW</x:v>
      </x:c>
      <x:c r="G41" s="38" t="str">
        <x:v>LOW</x:v>
      </x:c>
      <x:c r="H41" s="38" t="str">
        <x:v>A member was removed from an organization.</x:v>
      </x:c>
      <x:c r="I41" s="38" t="str">
        <x:v>Access review; audit history</x:v>
      </x:c>
      <x:c r="J41" s="38" t="str">
        <x:v>P0</x:v>
      </x:c>
      <x:c r="K41" s="38" t="str">
        <x:v>Already classified</x:v>
      </x:c>
      <x:c r="L41" s="38" t="str">
        <x:v>Positive reduction in access.</x:v>
      </x:c>
      <x:c r="M41" s="38" t="str">
        <x:v>https://docs.github.com/en/enterprise-cloud@latest/organizations/keeping-your-organization-secure/managing-security-settings-for-your-organization/audit-log-events-for-your-organization</x:v>
      </x:c>
    </x:row>
    <x:row r="42" ht="42" customHeight="1">
      <x:c r="A42" s="38" t="str">
        <x:v>ACC-03</x:v>
      </x:c>
      <x:c r="B42" s="38" t="str">
        <x:v>Access governance</x:v>
      </x:c>
      <x:c r="C42" s="38" t="str">
        <x:v>team.add_member</x:v>
      </x:c>
      <x:c r="D42" s="38" t="str">
        <x:v>Organization</x:v>
      </x:c>
      <x:c r="E42" s="38" t="str">
        <x:v>Access granted</x:v>
      </x:c>
      <x:c r="F42" s="38" t="str">
        <x:v>MEDIUM</x:v>
      </x:c>
      <x:c r="G42" s="38" t="str">
        <x:v>HIGH for privileged team</x:v>
      </x:c>
      <x:c r="H42" s="38" t="str">
        <x:v>A member was added to a team.</x:v>
      </x:c>
      <x:c r="I42" s="38" t="str">
        <x:v>Access review; change queue</x:v>
      </x:c>
      <x:c r="J42" s="38" t="str">
        <x:v>P0</x:v>
      </x:c>
      <x:c r="K42" s="38" t="str">
        <x:v>Already classified</x:v>
      </x:c>
      <x:c r="L42" s="38" t="str">
        <x:v>Future enhancement: team criticality registry.</x:v>
      </x:c>
      <x:c r="M42" s="38" t="str">
        <x:v>https://docs.github.com/en/enterprise-cloud@latest/organizations/keeping-your-organization-secure/managing-security-settings-for-your-organization/audit-log-events-for-your-organization</x:v>
      </x:c>
    </x:row>
    <x:row r="43" ht="42" customHeight="1">
      <x:c r="A43" s="38" t="str">
        <x:v>ACC-04</x:v>
      </x:c>
      <x:c r="B43" s="38" t="str">
        <x:v>Access governance</x:v>
      </x:c>
      <x:c r="C43" s="38" t="str">
        <x:v>team.remove_member</x:v>
      </x:c>
      <x:c r="D43" s="38" t="str">
        <x:v>Organization</x:v>
      </x:c>
      <x:c r="E43" s="38" t="str">
        <x:v>Access removed</x:v>
      </x:c>
      <x:c r="F43" s="38" t="str">
        <x:v>LOW</x:v>
      </x:c>
      <x:c r="G43" s="38" t="str">
        <x:v>LOW</x:v>
      </x:c>
      <x:c r="H43" s="38" t="str">
        <x:v>A member was removed from a team.</x:v>
      </x:c>
      <x:c r="I43" s="38" t="str">
        <x:v>Access review; audit history</x:v>
      </x:c>
      <x:c r="J43" s="38" t="str">
        <x:v>P0</x:v>
      </x:c>
      <x:c r="K43" s="38" t="str">
        <x:v>Already classified</x:v>
      </x:c>
      <x:c r="L43" s="38" t="str">
        <x:v>Positive reduction in access.</x:v>
      </x:c>
      <x:c r="M43" s="38" t="str">
        <x:v>https://docs.github.com/en/enterprise-cloud@latest/organizations/keeping-your-organization-secure/managing-security-settings-for-your-organization/audit-log-events-for-your-organization</x:v>
      </x:c>
    </x:row>
    <x:row r="44" ht="42" customHeight="1">
      <x:c r="A44" s="38" t="str">
        <x:v>ACC-05</x:v>
      </x:c>
      <x:c r="B44" s="38" t="str">
        <x:v>Access governance</x:v>
      </x:c>
      <x:c r="C44" s="38" t="str">
        <x:v>repo.add_member / repo.add_team</x:v>
      </x:c>
      <x:c r="D44" s="38" t="str">
        <x:v>Repository</x:v>
      </x:c>
      <x:c r="E44" s="38" t="str">
        <x:v>Repository access granted</x:v>
      </x:c>
      <x:c r="F44" s="38" t="str">
        <x:v>HIGH</x:v>
      </x:c>
      <x:c r="G44" s="38" t="str">
        <x:v>CRITICAL for admin/write on sensitive production repo</x:v>
      </x:c>
      <x:c r="H44" s="38" t="str">
        <x:v>A collaborator or team was granted repository access.</x:v>
      </x:c>
      <x:c r="I44" s="38" t="str">
        <x:v>Access review; repo drilldown</x:v>
      </x:c>
      <x:c r="J44" s="38" t="str">
        <x:v>P1</x:v>
      </x:c>
      <x:c r="K44" s="38" t="str">
        <x:v>Candidate - validate in data</x:v>
      </x:c>
      <x:c r="L44" s="38" t="str">
        <x:v>Requires permission field and repository criticality later.</x:v>
      </x:c>
      <x:c r="M44" s="38" t="str">
        <x:v>https://docs.github.com/en/enterprise-cloud@latest/organizations/keeping-your-organization-secure/managing-security-settings-for-your-organization/audit-log-events-for-your-organization</x:v>
      </x:c>
    </x:row>
    <x:row r="45" ht="42" customHeight="1">
      <x:c r="A45" s="38" t="str">
        <x:v>ACC-06</x:v>
      </x:c>
      <x:c r="B45" s="38" t="str">
        <x:v>Access governance</x:v>
      </x:c>
      <x:c r="C45" s="38" t="str">
        <x:v>repo.remove_member / repo.remove_team</x:v>
      </x:c>
      <x:c r="D45" s="38" t="str">
        <x:v>Repository</x:v>
      </x:c>
      <x:c r="E45" s="38" t="str">
        <x:v>Repository access removed</x:v>
      </x:c>
      <x:c r="F45" s="38" t="str">
        <x:v>LOW</x:v>
      </x:c>
      <x:c r="G45" s="38" t="str">
        <x:v>LOW</x:v>
      </x:c>
      <x:c r="H45" s="38" t="str">
        <x:v>A collaborator or team lost repository access.</x:v>
      </x:c>
      <x:c r="I45" s="38" t="str">
        <x:v>Access review; audit history</x:v>
      </x:c>
      <x:c r="J45" s="38" t="str">
        <x:v>P1</x:v>
      </x:c>
      <x:c r="K45" s="38" t="str">
        <x:v>Candidate - validate in data</x:v>
      </x:c>
      <x:c r="L45" s="38" t="str">
        <x:v>Positive reduction in access.</x:v>
      </x:c>
      <x:c r="M45" s="38" t="str">
        <x:v>https://docs.github.com/en/enterprise-cloud@latest/organizations/keeping-your-organization-secure/managing-security-settings-for-your-organization/audit-log-events-for-your-organization</x:v>
      </x:c>
    </x:row>
    <x:row r="46" ht="42" customHeight="1">
      <x:c r="A46" s="38" t="str">
        <x:v>ACC-07</x:v>
      </x:c>
      <x:c r="B46" s="38" t="str">
        <x:v>Access governance</x:v>
      </x:c>
      <x:c r="C46" s="38" t="str">
        <x:v>org.disable_two_factor_requirement</x:v>
      </x:c>
      <x:c r="D46" s="38" t="str">
        <x:v>Organization</x:v>
      </x:c>
      <x:c r="E46" s="38" t="str">
        <x:v>Identity guardrail disabled</x:v>
      </x:c>
      <x:c r="F46" s="38" t="str">
        <x:v>CRITICAL</x:v>
      </x:c>
      <x:c r="G46" s="38" t="str">
        <x:v>Manual disable = CRITICAL</x:v>
      </x:c>
      <x:c r="H46" s="38" t="str">
        <x:v>Organization two-factor authentication requirement was disabled.</x:v>
      </x:c>
      <x:c r="I46" s="38" t="str">
        <x:v>Critical queue; identity posture</x:v>
      </x:c>
      <x:c r="J46" s="38" t="str">
        <x:v>P1</x:v>
      </x:c>
      <x:c r="K46" s="38" t="str">
        <x:v>Candidate - validate in data</x:v>
      </x:c>
      <x:c r="L46" s="38" t="str">
        <x:v>High blast radius.</x:v>
      </x:c>
      <x:c r="M46" s="38" t="str">
        <x:v>https://docs.github.com/en/enterprise-cloud@latest/organizations/keeping-your-organization-secure/managing-security-settings-for-your-organization/audit-log-events-for-your-organization</x:v>
      </x:c>
    </x:row>
    <x:row r="47" ht="42" customHeight="1">
      <x:c r="A47" s="38" t="str">
        <x:v>ACC-08</x:v>
      </x:c>
      <x:c r="B47" s="38" t="str">
        <x:v>Access governance</x:v>
      </x:c>
      <x:c r="C47" s="38" t="str">
        <x:v>org.disable_saml</x:v>
      </x:c>
      <x:c r="D47" s="38" t="str">
        <x:v>Organization</x:v>
      </x:c>
      <x:c r="E47" s="38" t="str">
        <x:v>Identity guardrail disabled</x:v>
      </x:c>
      <x:c r="F47" s="38" t="str">
        <x:v>CRITICAL</x:v>
      </x:c>
      <x:c r="G47" s="38" t="str">
        <x:v>Manual disable = CRITICAL</x:v>
      </x:c>
      <x:c r="H47" s="38" t="str">
        <x:v>SAML SSO was disabled for an organization.</x:v>
      </x:c>
      <x:c r="I47" s="38" t="str">
        <x:v>Critical queue; identity posture</x:v>
      </x:c>
      <x:c r="J47" s="38" t="str">
        <x:v>P1</x:v>
      </x:c>
      <x:c r="K47" s="38" t="str">
        <x:v>Candidate - validate in data</x:v>
      </x:c>
      <x:c r="L47" s="38" t="str">
        <x:v>High blast radius.</x:v>
      </x:c>
      <x:c r="M47" s="38" t="str">
        <x:v>https://docs.github.com/en/enterprise-cloud@latest/organizations/keeping-your-organization-secure/managing-security-settings-for-your-organization/audit-log-events-for-your-organization</x:v>
      </x:c>
    </x:row>
    <x:row r="48" ht="42" customHeight="1">
      <x:c r="A48" s="38" t="str">
        <x:v>ACC-09</x:v>
      </x:c>
      <x:c r="B48" s="38" t="str">
        <x:v>Identity &amp; service account availability</x:v>
      </x:c>
      <x:c r="C48" s="38" t="str">
        <x:v>user.suspend on HIGH critical identity</x:v>
      </x:c>
      <x:c r="D48" s="38" t="str">
        <x:v>Enterprise</x:v>
      </x:c>
      <x:c r="E48" s="38" t="str">
        <x:v>Technical dependency impacted</x:v>
      </x:c>
      <x:c r="F48" s="38" t="str">
        <x:v>HIGH</x:v>
      </x:c>
      <x:c r="G48" s="38" t="str">
        <x:v>Always HIGH</x:v>
      </x:c>
      <x:c r="H48" s="38" t="str">
        <x:v>A registered critical runner/automation identity was suspended, potentially impacting CI/CD or automation.</x:v>
      </x:c>
      <x:c r="I48" s="38" t="str">
        <x:v>High-priority queue; lifecycle table</x:v>
      </x:c>
      <x:c r="J48" s="38" t="str">
        <x:v>P0</x:v>
      </x:c>
      <x:c r="K48" s="38" t="str">
        <x:v>Already classified</x:v>
      </x:c>
      <x:c r="L48" s="38" t="str">
        <x:v>Match by login OR numeric user ID.</x:v>
      </x:c>
      <x:c r="M48" s="38" t="str">
        <x:v>https://docs.github.com/en/enterprise-cloud@latest/organizations/keeping-your-organization-secure/managing-security-settings-for-your-organization/audit-log-events-for-your-organization</x:v>
      </x:c>
    </x:row>
    <x:row r="49" ht="42" customHeight="1">
      <x:c r="A49" s="38" t="str">
        <x:v>ACC-10</x:v>
      </x:c>
      <x:c r="B49" s="38" t="str">
        <x:v>Identity &amp; service account availability</x:v>
      </x:c>
      <x:c r="C49" s="38" t="str">
        <x:v>user.unsuspend on HIGH critical identity</x:v>
      </x:c>
      <x:c r="D49" s="38" t="str">
        <x:v>Enterprise</x:v>
      </x:c>
      <x:c r="E49" s="38" t="str">
        <x:v>Technical dependency restored</x:v>
      </x:c>
      <x:c r="F49" s="38" t="str">
        <x:v>LOW</x:v>
      </x:c>
      <x:c r="G49" s="38" t="str">
        <x:v>LOW</x:v>
      </x:c>
      <x:c r="H49" s="38" t="str">
        <x:v>A registered critical runner/automation identity was restored.</x:v>
      </x:c>
      <x:c r="I49" s="38" t="str">
        <x:v>Lifecycle table; recovery context</x:v>
      </x:c>
      <x:c r="J49" s="38" t="str">
        <x:v>P0</x:v>
      </x:c>
      <x:c r="K49" s="38" t="str">
        <x:v>Already classified</x:v>
      </x:c>
      <x:c r="L49" s="38" t="str">
        <x:v>Keep in same lifecycle view with HIGH records sorted first.</x:v>
      </x:c>
      <x:c r="M49" s="38" t="str">
        <x:v>https://docs.github.com/en/enterprise-cloud@latest/organizations/keeping-your-organization-secure/managing-security-settings-for-your-organization/audit-log-events-for-your-organization</x:v>
      </x:c>
    </x:row>
    <x:row r="50" ht="42" customHeight="1">
      <x:c r="A50" s="38" t="str">
        <x:v>ACC-11</x:v>
      </x:c>
      <x:c r="B50" s="38" t="str">
        <x:v>Access governance</x:v>
      </x:c>
      <x:c r="C50" s="38" t="str">
        <x:v>oauth_access.create / oauth_access.regenerate</x:v>
      </x:c>
      <x:c r="D50" s="38" t="str">
        <x:v>Organization</x:v>
      </x:c>
      <x:c r="E50" s="38" t="str">
        <x:v>Token/OAuth access granted</x:v>
      </x:c>
      <x:c r="F50" s="38" t="str">
        <x:v>MEDIUM</x:v>
      </x:c>
      <x:c r="G50" s="38" t="str">
        <x:v>HIGH if privileged app/scopes or unapproved application</x:v>
      </x:c>
      <x:c r="H50" s="38" t="str">
        <x:v>OAuth access was created or regenerated.</x:v>
      </x:c>
      <x:c r="I50" s="38" t="str">
        <x:v>Access review; trend</x:v>
      </x:c>
      <x:c r="J50" s="38" t="str">
        <x:v>P0</x:v>
      </x:c>
      <x:c r="K50" s="38" t="str">
        <x:v>Already classified</x:v>
      </x:c>
      <x:c r="L50" s="38" t="str">
        <x:v>Need application/scope allowlist for better prioritization.</x:v>
      </x:c>
      <x:c r="M50" s="38" t="str">
        <x:v>https://docs.github.com/en/enterprise-cloud@latest/organizations/keeping-your-organization-secure/managing-security-settings-for-your-organization/audit-log-events-for-your-organization</x:v>
      </x:c>
    </x:row>
    <x:row r="51" ht="42" customHeight="1">
      <x:c r="A51" s="38" t="str">
        <x:v>ACC-12</x:v>
      </x:c>
      <x:c r="B51" s="38" t="str">
        <x:v>Access governance</x:v>
      </x:c>
      <x:c r="C51" s="38" t="str">
        <x:v>oauth_access.destroy</x:v>
      </x:c>
      <x:c r="D51" s="38" t="str">
        <x:v>Organization</x:v>
      </x:c>
      <x:c r="E51" s="38" t="str">
        <x:v>Token/OAuth access revoked</x:v>
      </x:c>
      <x:c r="F51" s="38" t="str">
        <x:v>LOW</x:v>
      </x:c>
      <x:c r="G51" s="38" t="str">
        <x:v>LOW</x:v>
      </x:c>
      <x:c r="H51" s="38" t="str">
        <x:v>OAuth access was revoked.</x:v>
      </x:c>
      <x:c r="I51" s="38" t="str">
        <x:v>Access review; audit history</x:v>
      </x:c>
      <x:c r="J51" s="38" t="str">
        <x:v>P0</x:v>
      </x:c>
      <x:c r="K51" s="38" t="str">
        <x:v>Already classified</x:v>
      </x:c>
      <x:c r="L51" s="38" t="str">
        <x:v>Positive lifecycle event.</x:v>
      </x:c>
      <x:c r="M51" s="38" t="str">
        <x:v>https://docs.github.com/en/enterprise-cloud@latest/organizations/keeping-your-organization-secure/managing-security-settings-for-your-organization/audit-log-events-for-your-organization</x:v>
      </x:c>
    </x:row>
    <x:row r="52" ht="42" customHeight="1">
      <x:c r="A52" s="38" t="str">
        <x:v>REP-01</x:v>
      </x:c>
      <x:c r="B52" s="38" t="str">
        <x:v>Repository exposure</x:v>
      </x:c>
      <x:c r="C52" s="38" t="str">
        <x:v>repo.access (private → internal/public) / repository visibility change</x:v>
      </x:c>
      <x:c r="D52" s="38" t="str">
        <x:v>Repository</x:v>
      </x:c>
      <x:c r="E52" s="38" t="str">
        <x:v>Visibility broadened</x:v>
      </x:c>
      <x:c r="F52" s="38" t="str">
        <x:v>CRITICAL</x:v>
      </x:c>
      <x:c r="G52" s="38" t="str">
        <x:v>Private to public = CRITICAL; private to internal = HIGH</x:v>
      </x:c>
      <x:c r="H52" s="38" t="str">
        <x:v>Repository visibility was broadened, increasing exposure.</x:v>
      </x:c>
      <x:c r="I52" s="38" t="str">
        <x:v>Critical queue; repo drilldown</x:v>
      </x:c>
      <x:c r="J52" s="38" t="str">
        <x:v>P1</x:v>
      </x:c>
      <x:c r="K52" s="38" t="str">
        <x:v>Candidate - validate in data</x:v>
      </x:c>
      <x:c r="L52" s="38" t="str">
        <x:v>Use previous_visibility and visibility fields when available.</x:v>
      </x:c>
      <x:c r="M52" s="38" t="str">
        <x:v>https://docs.github.com/en/enterprise-cloud@latest/organizations/keeping-your-organization-secure/managing-security-settings-for-your-organization/audit-log-events-for-your-organization</x:v>
      </x:c>
    </x:row>
    <x:row r="53" ht="42" customHeight="1">
      <x:c r="A53" s="38" t="str">
        <x:v>REP-02</x:v>
      </x:c>
      <x:c r="B53" s="38" t="str">
        <x:v>Repository exposure</x:v>
      </x:c>
      <x:c r="C53" s="38" t="str">
        <x:v>repo.create (public repository)</x:v>
      </x:c>
      <x:c r="D53" s="38" t="str">
        <x:v>Repository</x:v>
      </x:c>
      <x:c r="E53" s="38" t="str">
        <x:v>New exposed asset</x:v>
      </x:c>
      <x:c r="F53" s="38" t="str">
        <x:v>HIGH</x:v>
      </x:c>
      <x:c r="G53" s="38" t="str">
        <x:v>HIGH for public repo creation under enterprise policy</x:v>
      </x:c>
      <x:c r="H53" s="38" t="str">
        <x:v>A new repository was created; public creation may create exposure.</x:v>
      </x:c>
      <x:c r="I53" s="38" t="str">
        <x:v>Review queue; repo inventory</x:v>
      </x:c>
      <x:c r="J53" s="38" t="str">
        <x:v>P2</x:v>
      </x:c>
      <x:c r="K53" s="38" t="str">
        <x:v>Candidate - validate in data</x:v>
      </x:c>
      <x:c r="L53" s="38" t="str">
        <x:v>Use visibility/public_repo fields.</x:v>
      </x:c>
      <x:c r="M53" s="38" t="str">
        <x:v>https://docs.github.com/en/enterprise-cloud@latest/organizations/keeping-your-organization-secure/managing-security-settings-for-your-organization/audit-log-events-for-your-organization</x:v>
      </x:c>
    </x:row>
    <x:row r="54" ht="42" customHeight="1">
      <x:c r="A54" s="38" t="str">
        <x:v>REP-03</x:v>
      </x:c>
      <x:c r="B54" s="38" t="str">
        <x:v>Repository exposure</x:v>
      </x:c>
      <x:c r="C54" s="38" t="str">
        <x:v>repo.transfer</x:v>
      </x:c>
      <x:c r="D54" s="38" t="str">
        <x:v>Repository</x:v>
      </x:c>
      <x:c r="E54" s="38" t="str">
        <x:v>Ownership boundary change</x:v>
      </x:c>
      <x:c r="F54" s="38" t="str">
        <x:v>HIGH</x:v>
      </x:c>
      <x:c r="G54" s="38" t="str">
        <x:v>HIGH</x:v>
      </x:c>
      <x:c r="H54" s="38" t="str">
        <x:v>Repository moved between organizations/owners.</x:v>
      </x:c>
      <x:c r="I54" s="38" t="str">
        <x:v>Review queue; repository drilldown</x:v>
      </x:c>
      <x:c r="J54" s="38" t="str">
        <x:v>P2</x:v>
      </x:c>
      <x:c r="K54" s="38" t="str">
        <x:v>Candidate - validate in data</x:v>
      </x:c>
      <x:c r="L54" s="38" t="str">
        <x:v>Can affect policy and access boundaries.</x:v>
      </x:c>
      <x:c r="M54" s="38" t="str">
        <x:v>https://docs.github.com/en/enterprise-cloud@latest/organizations/keeping-your-organization-secure/managing-security-settings-for-your-organization/audit-log-events-for-your-organization</x:v>
      </x:c>
    </x:row>
    <x:row r="55" ht="42" customHeight="1">
      <x:c r="A55" s="38" t="str">
        <x:v>REP-04</x:v>
      </x:c>
      <x:c r="B55" s="38" t="str">
        <x:v>Repository exposure</x:v>
      </x:c>
      <x:c r="C55" s="38" t="str">
        <x:v>repo.rename</x:v>
      </x:c>
      <x:c r="D55" s="38" t="str">
        <x:v>Repository</x:v>
      </x:c>
      <x:c r="E55" s="38" t="str">
        <x:v>Identity/traceability change</x:v>
      </x:c>
      <x:c r="F55" s="38" t="str">
        <x:v>MEDIUM</x:v>
      </x:c>
      <x:c r="G55" s="38" t="str">
        <x:v>MEDIUM</x:v>
      </x:c>
      <x:c r="H55" s="38" t="str">
        <x:v>Repository was renamed.</x:v>
      </x:c>
      <x:c r="I55" s="38" t="str">
        <x:v>Audit trail; repo drilldown</x:v>
      </x:c>
      <x:c r="J55" s="38" t="str">
        <x:v>P2</x:v>
      </x:c>
      <x:c r="K55" s="38" t="str">
        <x:v>Candidate - validate in data</x:v>
      </x:c>
      <x:c r="L55" s="38" t="str">
        <x:v>Useful correlation event.</x:v>
      </x:c>
      <x:c r="M55" s="38" t="str">
        <x:v>https://docs.github.com/en/enterprise-cloud@latest/organizations/keeping-your-organization-secure/managing-security-settings-for-your-organization/audit-log-events-for-your-organization</x:v>
      </x:c>
    </x:row>
    <x:row r="56" ht="42" customHeight="1">
      <x:c r="A56" s="38" t="str">
        <x:v>REP-05</x:v>
      </x:c>
      <x:c r="B56" s="38" t="str">
        <x:v>Repository management</x:v>
      </x:c>
      <x:c r="C56" s="38" t="str">
        <x:v>repo.delete / repo.archived / repo.unarchived</x:v>
      </x:c>
      <x:c r="D56" s="38" t="str">
        <x:v>Repository</x:v>
      </x:c>
      <x:c r="E56" s="38" t="str">
        <x:v>Lifecycle change</x:v>
      </x:c>
      <x:c r="F56" s="38" t="str">
        <x:v>HIGH</x:v>
      </x:c>
      <x:c r="G56" s="38" t="str">
        <x:v>HIGH for delete; MEDIUM for archive/unarchive</x:v>
      </x:c>
      <x:c r="H56" s="38" t="str">
        <x:v>Repository was deleted or lifecycle state changed.</x:v>
      </x:c>
      <x:c r="I56" s="38" t="str">
        <x:v>Review queue; repo drilldown</x:v>
      </x:c>
      <x:c r="J56" s="38" t="str">
        <x:v>P2</x:v>
      </x:c>
      <x:c r="K56" s="38" t="str">
        <x:v>Candidate - validate in data</x:v>
      </x:c>
      <x:c r="L56" s="38" t="str">
        <x:v>Separate delete from archive in final rules.</x:v>
      </x:c>
      <x:c r="M56" s="38" t="str">
        <x:v>https://docs.github.com/en/enterprise-cloud@latest/organizations/keeping-your-organization-secure/managing-security-settings-for-your-organization/audit-log-events-for-your-organization</x:v>
      </x:c>
    </x:row>
    <x:row r="57" ht="42" customHeight="1">
      <x:c r="A57" s="38" t="str">
        <x:v>OPS-01</x:v>
      </x:c>
      <x:c r="B57" s="38" t="str">
        <x:v>Workflow security</x:v>
      </x:c>
      <x:c r="C57" s="38" t="str">
        <x:v>repo.actions_disabled</x:v>
      </x:c>
      <x:c r="D57" s="38" t="str">
        <x:v>Repository</x:v>
      </x:c>
      <x:c r="E57" s="38" t="str">
        <x:v>Automation disabled</x:v>
      </x:c>
      <x:c r="F57" s="38" t="str">
        <x:v>HIGH</x:v>
      </x:c>
      <x:c r="G57" s="38" t="str">
        <x:v>HIGH for production/CI-critical repository</x:v>
      </x:c>
      <x:c r="H57" s="38" t="str">
        <x:v>GitHub Actions was disabled for a repository.</x:v>
      </x:c>
      <x:c r="I57" s="38" t="str">
        <x:v>Review queue; repo drilldown</x:v>
      </x:c>
      <x:c r="J57" s="38" t="str">
        <x:v>P2</x:v>
      </x:c>
      <x:c r="K57" s="38" t="str">
        <x:v>Candidate - validate in data</x:v>
      </x:c>
      <x:c r="L57" s="38" t="str">
        <x:v>Determine exact action name in raw inventory; docs show repo.actions_enabled counterpart.</x:v>
      </x:c>
      <x:c r="M57" s="38" t="str">
        <x:v>https://docs.github.com/en/enterprise-cloud@latest/organizations/keeping-your-organization-secure/managing-security-settings-for-your-organization/audit-log-events-for-your-organization</x:v>
      </x:c>
    </x:row>
    <x:row r="58" ht="42" customHeight="1">
      <x:c r="A58" s="38" t="str">
        <x:v>OPS-02</x:v>
      </x:c>
      <x:c r="B58" s="38" t="str">
        <x:v>Workflow security</x:v>
      </x:c>
      <x:c r="C58" s="38" t="str">
        <x:v>checks.auto_trigger_disabled</x:v>
      </x:c>
      <x:c r="D58" s="38" t="str">
        <x:v>Repository</x:v>
      </x:c>
      <x:c r="E58" s="38" t="str">
        <x:v>Checks disabled</x:v>
      </x:c>
      <x:c r="F58" s="38" t="str">
        <x:v>HIGH</x:v>
      </x:c>
      <x:c r="G58" s="38" t="str">
        <x:v>HIGH</x:v>
      </x:c>
      <x:c r="H58" s="38" t="str">
        <x:v>Automatic creation of check suites was disabled, reducing CI/check visibility.</x:v>
      </x:c>
      <x:c r="I58" s="38" t="str">
        <x:v>Review queue; controls dashboard</x:v>
      </x:c>
      <x:c r="J58" s="38" t="str">
        <x:v>P1</x:v>
      </x:c>
      <x:c r="K58" s="38" t="str">
        <x:v>Candidate - validate in data</x:v>
      </x:c>
      <x:c r="L58" s="38" t="str">
        <x:v>Relevant to required-check governance.</x:v>
      </x:c>
      <x:c r="M58" s="38" t="str">
        <x:v>https://docs.github.com/en/enterprise-cloud@latest/organizations/keeping-your-organization-secure/managing-security-settings-for-your-organization/audit-log-events-for-your-organization</x:v>
      </x:c>
    </x:row>
    <x:row r="59" ht="42" customHeight="1">
      <x:c r="A59" s="38" t="str">
        <x:v>OPS-03</x:v>
      </x:c>
      <x:c r="B59" s="38" t="str">
        <x:v>Workflow security</x:v>
      </x:c>
      <x:c r="C59" s="38" t="str">
        <x:v>workflow / actions policy change patterns</x:v>
      </x:c>
      <x:c r="D59" s="38" t="str">
        <x:v>Repo / Org / Enterprise</x:v>
      </x:c>
      <x:c r="E59" s="38" t="str">
        <x:v>Execution policy change</x:v>
      </x:c>
      <x:c r="F59" s="38" t="str">
        <x:v>HIGH</x:v>
      </x:c>
      <x:c r="G59" s="38" t="str">
        <x:v>CRITICAL if untrusted actions allowed or enforcement removed</x:v>
      </x:c>
      <x:c r="H59" s="38" t="str">
        <x:v>Workflow/security policy changed, possibly changing what code can execute.</x:v>
      </x:c>
      <x:c r="I59" s="38" t="str">
        <x:v>Controls dashboard; repo drilldown</x:v>
      </x:c>
      <x:c r="J59" s="38" t="str">
        <x:v>P2</x:v>
      </x:c>
      <x:c r="K59" s="38" t="str">
        <x:v>Candidate - validate in data</x:v>
      </x:c>
      <x:c r="L59" s="38" t="str">
        <x:v>Exact event names must be discovered from your stream.</x:v>
      </x:c>
      <x:c r="M59" s="38" t="str">
        <x:v>https://docs.github.com/en/enterprise-cloud@latest/organizations/keeping-your-organization-secure/managing-security-settings-for-your-organization/audit-log-events-for-your-organization</x:v>
      </x:c>
    </x:row>
    <x:row r="60" ht="42" customHeight="1">
      <x:c r="A60" s="38" t="str">
        <x:v>OPS-04</x:v>
      </x:c>
      <x:c r="B60" s="38" t="str">
        <x:v>Runner governance</x:v>
      </x:c>
      <x:c r="C60" s="38" t="str">
        <x:v>org.register_self_hosted_runner / enterprise.register_self_hosted_runner</x:v>
      </x:c>
      <x:c r="D60" s="38" t="str">
        <x:v>Org / Enterprise</x:v>
      </x:c>
      <x:c r="E60" s="38" t="str">
        <x:v>New execution surface</x:v>
      </x:c>
      <x:c r="F60" s="38" t="str">
        <x:v>MEDIUM</x:v>
      </x:c>
      <x:c r="G60" s="38" t="str">
        <x:v>HIGH if unapproved runner or privileged group</x:v>
      </x:c>
      <x:c r="H60" s="38" t="str">
        <x:v>A self-hosted runner was registered.</x:v>
      </x:c>
      <x:c r="I60" s="38" t="str">
        <x:v>Runner governance aggregate; review queue when policy mismatch</x:v>
      </x:c>
      <x:c r="J60" s="38" t="str">
        <x:v>P2</x:v>
      </x:c>
      <x:c r="K60" s="38" t="str">
        <x:v>Observed but excluded from v1</x:v>
      </x:c>
      <x:c r="L60" s="38" t="str">
        <x:v>Needs approved runner/group registry to avoid operational noise.</x:v>
      </x:c>
      <x:c r="M60" s="38" t="str">
        <x:v>https://docs.github.com/en/enterprise-cloud@latest/organizations/keeping-your-organization-secure/managing-security-settings-for-your-organization/audit-log-events-for-your-organization</x:v>
      </x:c>
    </x:row>
    <x:row r="61" ht="42" customHeight="1">
      <x:c r="A61" s="38" t="str">
        <x:v>OPS-05</x:v>
      </x:c>
      <x:c r="B61" s="38" t="str">
        <x:v>Runner governance</x:v>
      </x:c>
      <x:c r="C61" s="38" t="str">
        <x:v>self-hosted runner removal / group-policy change patterns</x:v>
      </x:c>
      <x:c r="D61" s="38" t="str">
        <x:v>Org / Enterprise</x:v>
      </x:c>
      <x:c r="E61" s="38" t="str">
        <x:v>Execution surface change</x:v>
      </x:c>
      <x:c r="F61" s="38" t="str">
        <x:v>HIGH</x:v>
      </x:c>
      <x:c r="G61" s="38" t="str">
        <x:v>HIGH if it removes critical capacity or widens runner access</x:v>
      </x:c>
      <x:c r="H61" s="38" t="str">
        <x:v>Runner availability or runner-group policy changed.</x:v>
      </x:c>
      <x:c r="I61" s="38" t="str">
        <x:v>Runner operations dashboard; review queue</x:v>
      </x:c>
      <x:c r="J61" s="38" t="str">
        <x:v>P2</x:v>
      </x:c>
      <x:c r="K61" s="38" t="str">
        <x:v>Candidate - validate in data</x:v>
      </x:c>
      <x:c r="L61" s="38" t="str">
        <x:v>Link with technical account lifecycle for CI/CD story.</x:v>
      </x:c>
      <x:c r="M61" s="38" t="str">
        <x:v>https://docs.github.com/en/enterprise-cloud@latest/organizations/keeping-your-organization-secure/managing-security-settings-for-your-organization/audit-log-events-for-your-organization</x:v>
      </x:c>
    </x:row>
    <x:row r="62" ht="42" customHeight="1">
      <x:c r="A62" s="38" t="str">
        <x:v>GOV-01</x:v>
      </x:c>
      <x:c r="B62" s="38" t="str">
        <x:v>Audit integrity</x:v>
      </x:c>
      <x:c r="C62" s="38" t="str">
        <x:v>audit log streaming / retention / webhook configuration change patterns</x:v>
      </x:c>
      <x:c r="D62" s="38" t="str">
        <x:v>Enterprise</x:v>
      </x:c>
      <x:c r="E62" s="38" t="str">
        <x:v>Visibility control changed</x:v>
      </x:c>
      <x:c r="F62" s="38" t="str">
        <x:v>CRITICAL</x:v>
      </x:c>
      <x:c r="G62" s="38" t="str">
        <x:v>Manual disable/weakening = CRITICAL</x:v>
      </x:c>
      <x:c r="H62" s="38" t="str">
        <x:v>Audit collection path or retention was changed, potentially reducing governance evidence.</x:v>
      </x:c>
      <x:c r="I62" s="38" t="str">
        <x:v>Critical queue; pipeline health dashboard</x:v>
      </x:c>
      <x:c r="J62" s="38" t="str">
        <x:v>P2</x:v>
      </x:c>
      <x:c r="K62" s="38" t="str">
        <x:v>Candidate - validate in data</x:v>
      </x:c>
      <x:c r="L62" s="38" t="str">
        <x:v>Exact action names depend on enterprise configuration.</x:v>
      </x:c>
      <x:c r="M62" s="38" t="str">
        <x:v>https://docs.github.com/en/enterprise-cloud@latest/admin/monitoring-activity-in-your-enterprise/reviewing-audit-logs-for-your-enterprise/audit-log-events-for-your-enterprise</x:v>
      </x:c>
    </x:row>
    <x:row r="63" ht="42" customHeight="1">
      <x:c r="A63" s="38" t="str">
        <x:v>GOV-02</x:v>
      </x:c>
      <x:c r="B63" s="38" t="str">
        <x:v>Policy integrity</x:v>
      </x:c>
      <x:c r="C63" s="38" t="str">
        <x:v>Enterprise/organization security policy change patterns</x:v>
      </x:c>
      <x:c r="D63" s="38" t="str">
        <x:v>Enterprise / Org</x:v>
      </x:c>
      <x:c r="E63" s="38" t="str">
        <x:v>Policy changed</x:v>
      </x:c>
      <x:c r="F63" s="38" t="str">
        <x:v>HIGH</x:v>
      </x:c>
      <x:c r="G63" s="38" t="str">
        <x:v>CRITICAL if mandatory baseline is removed</x:v>
      </x:c>
      <x:c r="H63" s="38" t="str">
        <x:v>Security policy or default configuration changed.</x:v>
      </x:c>
      <x:c r="I63" s="38" t="str">
        <x:v>Policy posture dashboard; review queue</x:v>
      </x:c>
      <x:c r="J63" s="38" t="str">
        <x:v>P2</x:v>
      </x:c>
      <x:c r="K63" s="38" t="str">
        <x:v>Candidate - validate in data</x:v>
      </x:c>
      <x:c r="L63" s="38" t="str">
        <x:v>Use security configuration API/snapshots later for before/after posture.</x:v>
      </x:c>
      <x:c r="M63" s="38" t="str">
        <x:v>https://docs.github.com/en/enterprise-cloud@latest/rest/code-security/configurations</x:v>
      </x:c>
    </x:row>
    <x:row r="64" ht="42" customHeight="1">
      <x:c r="A64" s="38" t="str">
        <x:v>GOV-03</x:v>
      </x:c>
      <x:c r="B64" s="38" t="str">
        <x:v>Secret protection</x:v>
      </x:c>
      <x:c r="C64" s="38" t="str">
        <x:v>Push-protection bypass event</x:v>
      </x:c>
      <x:c r="D64" s="38" t="str">
        <x:v>Repository</x:v>
      </x:c>
      <x:c r="E64" s="38" t="str">
        <x:v>Prevention bypassed</x:v>
      </x:c>
      <x:c r="F64" s="38" t="str">
        <x:v>HIGH</x:v>
      </x:c>
      <x:c r="G64" s="38" t="str">
        <x:v>CRITICAL if verified high-value credential bypassed</x:v>
      </x:c>
      <x:c r="H64" s="38" t="str">
        <x:v>A user bypassed a push-protection block after GitHub detected a secret.</x:v>
      </x:c>
      <x:c r="I64" s="38" t="str">
        <x:v>Critical/high queue; bypass trend</x:v>
      </x:c>
      <x:c r="J64" s="38" t="str">
        <x:v>P1</x:v>
      </x:c>
      <x:c r="K64" s="38" t="str">
        <x:v>Candidate - validate in data</x:v>
      </x:c>
      <x:c r="L64" s="38" t="str">
        <x:v>GitHub audit logs track push-protection bypasses; enrich with secret type/validity when available.</x:v>
      </x:c>
      <x:c r="M64" s="38" t="str">
        <x:v>https://docs.github.com/en/code-security/concepts/security-at-scale/auditing-security-alerts</x:v>
      </x:c>
    </x:row>
    <x:row r="65" ht="42" customHeight="1">
      <x:c r="A65" s="38" t="str">
        <x:v>GOV-04</x:v>
      </x:c>
      <x:c r="B65" s="38" t="str">
        <x:v>Governance quality</x:v>
      </x:c>
      <x:c r="C65" s="38" t="str">
        <x:v>Approved automation exception applied</x:v>
      </x:c>
      <x:c r="D65" s="38" t="str">
        <x:v>Any</x:v>
      </x:c>
      <x:c r="E65" s="38" t="str">
        <x:v>Review-priority adjustment</x:v>
      </x:c>
      <x:c r="F65" s="38" t="str">
        <x:v>MEDIUM</x:v>
      </x:c>
      <x:c r="G65" s="38" t="str">
        <x:v>Never suppress event; lower only exact approved actor + action</x:v>
      </x:c>
      <x:c r="H65" s="38" t="str">
        <x:v>Expected automation changed a control under approved provisioning workflow.</x:v>
      </x:c>
      <x:c r="I65" s="38" t="str">
        <x:v>Automation volume KPI; exception audit table</x:v>
      </x:c>
      <x:c r="J65" s="38" t="str">
        <x:v>P0</x:v>
      </x:c>
      <x:c r="K65" s="38" t="str">
        <x:v>Implemented</x:v>
      </x:c>
      <x:c r="L65" s="38" t="str">
        <x:v>Use exact exception registry; do not wildcard service accounts.</x:v>
      </x:c>
      <x:c r="M65" s="38" t="str">
        <x:v>https://docs.github.com/en/enterprise-cloud@latest/organizations/keeping-your-organization-secure/managing-security-settings-for-your-organization/audit-log-events-for-your-organization</x:v>
      </x:c>
    </x:row>
  </x:sheetData>
  <x:mergeCells>
    <x:mergeCell ref="A1:M1"/>
  </x:mergeCells>
  <x:conditionalFormatting sqref="F3:F65">
    <x:cfRule type="expression" dxfId="0" priority="1">
      <x:formula>F3="CRITICAL"</x:formula>
    </x:cfRule>
    <x:cfRule type="expression" dxfId="1" priority="2">
      <x:formula>F3="HIGH"</x:formula>
    </x:cfRule>
    <x:cfRule type="expression" dxfId="2" priority="3">
      <x:formula>F3="MEDIUM"</x:formula>
    </x:cfRule>
    <x:cfRule type="expression" dxfId="3" priority="4">
      <x:formula>F3="LOW"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b60b770c4a42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5" hidden="0" customWidth="1"/>
    <x:col min="4" max="4" width="55" hidden="0" customWidth="1"/>
    <x:col min="5" max="5" width="12" hidden="0" customWidth="1"/>
    <x:col min="6" max="6" width="12" hidden="0" customWidth="1"/>
    <x:col min="7" max="7" width="42" hidden="0" customWidth="1"/>
    <x:col min="8" max="8" width="15" hidden="0" customWidth="1"/>
  </x:cols>
  <x:sheetData>
    <x:row r="1">
      <x:c r="A1" s="5" t="str">
        <x:v>Grafana Dashboard Plan — What Each View Should Answer</x:v>
      </x:c>
      <x:c r="B1" s="5"/>
      <x:c r="C1" s="5"/>
      <x:c r="D1" s="5"/>
      <x:c r="E1" s="5"/>
      <x:c r="F1" s="5"/>
      <x:c r="G1" s="5"/>
      <x:c r="H1" s="5"/>
    </x:row>
    <x:row r="2">
      <x:c r="A2" s="30" t="str">
        <x:v>Dashboard</x:v>
      </x:c>
      <x:c r="B2" s="30" t="str">
        <x:v>Primary question</x:v>
      </x:c>
      <x:c r="C2" s="30" t="str">
        <x:v>Data source</x:v>
      </x:c>
      <x:c r="D2" s="30" t="str">
        <x:v>Core panels</x:v>
      </x:c>
      <x:c r="E2" s="30" t="str">
        <x:v>Priority</x:v>
      </x:c>
      <x:c r="F2" s="30" t="str">
        <x:v>Build order</x:v>
      </x:c>
      <x:c r="G2" s="30" t="str">
        <x:v>Notes</x:v>
      </x:c>
      <x:c r="H2" s="30" t="str">
        <x:v>Status</x:v>
      </x:c>
    </x:row>
    <x:row r="3" ht="42" customHeight="1">
      <x:c r="A3" s="36" t="str">
        <x:v>Audit Pipeline Health</x:v>
      </x:c>
      <x:c r="B3" s="36" t="str">
        <x:v>Is the audit pipeline ingesting correctly and fresh enough?</x:v>
      </x:c>
      <x:c r="C3" s="36" t="str">
        <x:v>github_audit_pipeline_health</x:v>
      </x:c>
      <x:c r="D3" s="36" t="str">
        <x:v>Success rate; file/event throughput; parse failures; source lag; duration; failures</x:v>
      </x:c>
      <x:c r="E3" s="36" t="str">
        <x:v>P0</x:v>
      </x:c>
      <x:c r="F3" s="36" t="str">
        <x:v>1</x:v>
      </x:c>
      <x:c r="G3" s="36" t="str">
        <x:v>Keep classified_at/ingested_at here, not in governance trend.</x:v>
      </x:c>
      <x:c r="H3" s="36" t="str">
        <x:v>Complete</x:v>
      </x:c>
    </x:row>
    <x:row r="4" ht="42" customHeight="1">
      <x:c r="A4" s="36" t="str">
        <x:v>Governance Overview</x:v>
      </x:c>
      <x:c r="B4" s="36" t="str">
        <x:v>What governance-relevant changes occurred and what needs review?</x:v>
      </x:c>
      <x:c r="C4" s="36" t="str">
        <x:v>github_governance_events</x:v>
      </x:c>
      <x:c r="D4" s="36" t="str">
        <x:v>Critical/High counts; priority bar gauge; area donut; review queue; trends; critical identity lifecycle</x:v>
      </x:c>
      <x:c r="E4" s="36" t="str">
        <x:v>P0</x:v>
      </x:c>
      <x:c r="F4" s="36" t="str">
        <x:v>2</x:v>
      </x:c>
      <x:c r="G4" s="36" t="str">
        <x:v>Use event_time only for governance history.</x:v>
      </x:c>
      <x:c r="H4" s="36" t="str">
        <x:v>Complete</x:v>
      </x:c>
    </x:row>
    <x:row r="5" ht="42" customHeight="1">
      <x:c r="A5" s="36" t="str">
        <x:v>Security Control Posture</x:v>
      </x:c>
      <x:c r="B5" s="36" t="str">
        <x:v>Which security controls were disabled, weakened, or failed to apply?</x:v>
      </x:c>
      <x:c r="C5" s="36" t="str">
        <x:v>github_governance_events + future security snapshots</x:v>
      </x:c>
      <x:c r="D5" s="36" t="str">
        <x:v>Critical disablement queue; feature-by-feature status; failed security configs; push-protection bypasses</x:v>
      </x:c>
      <x:c r="E5" s="36" t="str">
        <x:v>P1</x:v>
      </x:c>
      <x:c r="F5" s="36" t="str">
        <x:v>3</x:v>
      </x:c>
      <x:c r="G5" s="36" t="str">
        <x:v>Manager-requested priority: manual disablement = CRITICAL.</x:v>
      </x:c>
      <x:c r="H5" s="36" t="str">
        <x:v>Planned</x:v>
      </x:c>
    </x:row>
    <x:row r="6" ht="42" customHeight="1">
      <x:c r="A6" s="36" t="str">
        <x:v>Repository Governance Drilldown</x:v>
      </x:c>
      <x:c r="B6" s="36" t="str">
        <x:v>What happened in a selected repository and who changed its controls?</x:v>
      </x:c>
      <x:c r="C6" s="36" t="str">
        <x:v>github_governance_events</x:v>
      </x:c>
      <x:c r="D6" s="36" t="str">
        <x:v>Timeline; high/critical events; branch/merge; security control changes; top actors</x:v>
      </x:c>
      <x:c r="E6" s="36" t="str">
        <x:v>P1</x:v>
      </x:c>
      <x:c r="F6" s="36" t="str">
        <x:v>4</x:v>
      </x:c>
      <x:c r="G6" s="36" t="str">
        <x:v>Start as audit activity; posture/risk score later after snapshots.</x:v>
      </x:c>
      <x:c r="H6" s="36" t="str">
        <x:v>Planned</x:v>
      </x:c>
    </x:row>
    <x:row r="7" ht="42" customHeight="1">
      <x:c r="A7" s="36" t="str">
        <x:v>Identity &amp; Access Change Review</x:v>
      </x:c>
      <x:c r="B7" s="36" t="str">
        <x:v>Which access, OAuth, and technical-account changes need review?</x:v>
      </x:c>
      <x:c r="C7" s="36" t="str">
        <x:v>github_governance_events + critical identity registry</x:v>
      </x:c>
      <x:c r="D7" s="36" t="str">
        <x:v>Membership grants; repo access grants; OAuth lifecycle; technical account lifecycle; top actors</x:v>
      </x:c>
      <x:c r="E7" s="36" t="str">
        <x:v>P1</x:v>
      </x:c>
      <x:c r="F7" s="36" t="str">
        <x:v>5</x:v>
      </x:c>
      <x:c r="G7" s="36" t="str">
        <x:v>Later enrich with current-access snapshots for true access certification.</x:v>
      </x:c>
      <x:c r="H7" s="36" t="str">
        <x:v>Planned</x:v>
      </x:c>
    </x:row>
    <x:row r="8" ht="42" customHeight="1">
      <x:c r="A8" s="36" t="str">
        <x:v>Security Alerts &amp; Bypass Review</x:v>
      </x:c>
      <x:c r="B8" s="36" t="str">
        <x:v>What active security alerts or prevention bypasses need attention?</x:v>
      </x:c>
      <x:c r="C8" s="36" t="str">
        <x:v>Audit events + future GitHub security-alert ingestion</x:v>
      </x:c>
      <x:c r="D8" s="36" t="str">
        <x:v>Push-protection bypasses; secret/code/dependabot alerts; dismiss/reopen patterns</x:v>
      </x:c>
      <x:c r="E8" s="36" t="str">
        <x:v>P2</x:v>
      </x:c>
      <x:c r="F8" s="36" t="str">
        <x:v>6</x:v>
      </x:c>
      <x:c r="G8" s="36" t="str">
        <x:v>Needs alert metadata / severity ingestion.</x:v>
      </x:c>
      <x:c r="H8" s="36" t="str">
        <x:v>Planned</x:v>
      </x:c>
    </x:row>
    <x:row r="9" ht="42" customHeight="1">
      <x:c r="A9" s="36" t="str">
        <x:v>Runner &amp; Automation Governance</x:v>
      </x:c>
      <x:c r="B9" s="36" t="str">
        <x:v>Which runner and automation changes alter CI/CD execution risk?</x:v>
      </x:c>
      <x:c r="C9" s="36" t="str">
        <x:v>github_governance_events + runner inventory</x:v>
      </x:c>
      <x:c r="D9" s="36" t="str">
        <x:v>Runner registration; runner-group changes; critical identity lifecycle; automation exceptions</x:v>
      </x:c>
      <x:c r="E9" s="36" t="str">
        <x:v>P2</x:v>
      </x:c>
      <x:c r="F9" s="36" t="str">
        <x:v>7</x:v>
      </x:c>
      <x:c r="G9" s="36" t="str">
        <x:v>Avoid detailed noise until approved runner registry exists.</x:v>
      </x:c>
      <x:c r="H9" s="36" t="str">
        <x:v>Planned</x:v>
      </x:c>
    </x:row>
    <x:row r="10" ht="42" customHeight="1">
      <x:c r="A10" s="36" t="str">
        <x:v>Reports &amp; Evidence</x:v>
      </x:c>
      <x:c r="B10" s="36" t="str">
        <x:v>Can managers receive a reproducible weekly governance report?</x:v>
      </x:c>
      <x:c r="C10" s="36" t="str">
        <x:v>Curated tables + aggregates</x:v>
      </x:c>
      <x:c r="D10" s="36" t="str">
        <x:v>Weekly summary; high/critical evidence; exception use; pipeline continuity</x:v>
      </x:c>
      <x:c r="E10" s="36" t="str">
        <x:v>P2</x:v>
      </x:c>
      <x:c r="F10" s="36" t="str">
        <x:v>8</x:v>
      </x:c>
      <x:c r="G10" s="36" t="str">
        <x:v>Foundation for later AI assistant.</x:v>
      </x:c>
      <x:c r="H10" s="36" t="str">
        <x:v>Planned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2d73b119bef4a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80" hidden="0" customWidth="1"/>
    <x:col min="4" max="4" width="38" hidden="0" customWidth="1"/>
    <x:col min="5" max="5" width="32" hidden="0" customWidth="1"/>
    <x:col min="6" max="6" width="34" hidden="0" customWidth="1"/>
  </x:cols>
  <x:sheetData>
    <x:row r="1">
      <x:c r="A1" s="5" t="str">
        <x:v>Discovery Queries — Run Before Adding New Classifier Rules</x:v>
      </x:c>
      <x:c r="B1" s="5"/>
      <x:c r="C1" s="5"/>
      <x:c r="D1" s="5"/>
      <x:c r="E1" s="5"/>
      <x:c r="F1" s="5"/>
    </x:row>
    <x:row r="2">
      <x:c r="A2" s="30" t="str">
        <x:v>Purpose</x:v>
      </x:c>
      <x:c r="B2" s="30" t="str">
        <x:v>When to use</x:v>
      </x:c>
      <x:c r="C2" s="30" t="str">
        <x:v>SQL</x:v>
      </x:c>
      <x:c r="D2" s="30" t="str">
        <x:v>Expected decision</x:v>
      </x:c>
      <x:c r="E2" s="30" t="str">
        <x:v>Cost guardrail</x:v>
      </x:c>
      <x:c r="F2" s="30" t="str">
        <x:v>Notes</x:v>
      </x:c>
    </x:row>
    <x:row r="3" ht="42" customHeight="1">
      <x:c r="A3" s="36" t="str">
        <x:v>Inventory Advanced Security and Secret Protection actions</x:v>
      </x:c>
      <x:c r="B3" s="36" t="str">
        <x:v>First step before extending classifier</x:v>
      </x:c>
      <x:c r="C3" s="36" t="str">
        <x:v>SELECT action, COUNT(*) AS events, COUNT(DISTINCT org) AS orgs,
COUNT(DISTINCT repository) AS repos,
ARRAY_AGG(DISTINCT actor IGNORE NULLS LIMIT 10) AS sample_actors,
MIN(event_time) AS first_seen, MAX(event_time) AS last_seen
FROM `db-dev-l4to-mp-github.github_governance.github_audit_events_normalized`
WHERE event_time &gt;= TIMESTAMP_SUB(CURRENT_TIMESTAMP(), INTERVAL 30 DAY)
  AND (STARTS_WITH(action, 'repo.advanced_security')
    OR STARTS_WITH(action, 'repo.codeql')
    OR STARTS_WITH(action, 'repo.code_scanning')
    OR STARTS_WITH(action, 'repository_secret_scanning')
    OR STARTS_WITH(action, 'repository_security_configuration')
    OR STARTS_WITH(action, 'repository_security_updates')
    OR STARTS_WITH(action, 'org.advanced_security')
    OR STARTS_WITH(action, 'org.codeql')
    OR STARTS_WITH(action, 'org.secret_scanning')
    OR STARTS_WITH(action, 'business_advanced_security')
    OR STARTS_WITH(action, 'business_secret_scanning'))
GROUP BY action ORDER BY events DESC;</x:v>
      </x:c>
      <x:c r="D3" s="36" t="str">
        <x:v>Confirm exact action names and daily volume; select P1 rule set.</x:v>
      </x:c>
      <x:c r="E3" s="36" t="str">
        <x:v>30-day event_time partition filter included.</x:v>
      </x:c>
      <x:c r="F3" s="36" t="str">
        <x:v>Use returned action names, not guesses, in production classifier SQL.</x:v>
      </x:c>
    </x:row>
    <x:row r="4" ht="42" customHeight="1">
      <x:c r="A4" s="36" t="str">
        <x:v>Review manual security-control disablements</x:v>
      </x:c>
      <x:c r="B4" s="36" t="str">
        <x:v>Before assigning CRITICAL rule</x:v>
      </x:c>
      <x:c r="C4" s="36" t="str">
        <x:v>SELECT action, actor, org, repository, COUNT(*) AS events,
MIN(event_time) AS first_seen, MAX(event_time) AS last_seen
FROM `db-dev-l4to-mp-github.github_governance.github_audit_events_normalized`
WHERE event_time &gt;= TIMESTAMP_SUB(CURRENT_TIMESTAMP(), INTERVAL 30 DAY)
  AND action IN ('repo.advanced_security_disabled','repo.codeql_disabled',
    'repository_secret_scanning_push_protection.disable',
    'repository_secret_scanning_push_protection_bypass_list.disable',
    'repository_security_configuration.removed',
    'repository_security_configuration.removed_by_settings_change',
    'repository_security_updates.disable','org.disable_two_factor_requirement','org.disable_saml')
GROUP BY action, actor, org, repository ORDER BY events DESC;</x:v>
      </x:c>
      <x:c r="D4" s="36" t="str">
        <x:v>Identify actor, repo/org scope, and whether disablement is automation or manual.</x:v>
      </x:c>
      <x:c r="E4" s="36" t="str">
        <x:v>30-day event_time partition filter included.</x:v>
      </x:c>
      <x:c r="F4" s="36" t="str">
        <x:v>Cross-check high-volume actors against reviewed automation registry.</x:v>
      </x:c>
    </x:row>
    <x:row r="5" ht="42" customHeight="1">
      <x:c r="A5" s="36" t="str">
        <x:v>Find destructive / bypass actions not yet covered</x:v>
      </x:c>
      <x:c r="B5" s="36" t="str">
        <x:v>Monthly discovery query</x:v>
      </x:c>
      <x:c r="C5" s="36" t="str">
        <x:v>SELECT action, COUNT(*) AS events, COUNTIF(actor_is_bot) AS bot_events,
COUNTIF(NOT actor_is_bot OR actor_is_bot IS NULL) AS non_bot_events,
ARRAY_AGG(DISTINCT actor IGNORE NULLS LIMIT 20) AS sample_actors
FROM `db-dev-l4to-mp-github.github_governance.github_audit_events_normalized`
WHERE event_time &gt;= TIMESTAMP_SUB(CURRENT_TIMESTAMP(), INTERVAL 30 DAY)
  AND (action LIKE '%disable%' OR action LIKE '%removed%' OR action LIKE '%deleted%' OR action LIKE '%bypass%')
GROUP BY action ORDER BY non_bot_events DESC, events DESC;</x:v>
      </x:c>
      <x:c r="D5" s="36" t="str">
        <x:v>Create backlog candidates for policy discussion; do not auto-classify solely from a string match.</x:v>
      </x:c>
      <x:c r="E5" s="36" t="str">
        <x:v>30-day event_time partition filter included.</x:v>
      </x:c>
      <x:c r="F5" s="36" t="str">
        <x:v>Discovery only, not production rule logic.</x:v>
      </x:c>
    </x:row>
    <x:row r="6" ht="42" customHeight="1">
      <x:c r="A6" s="36" t="str">
        <x:v>Separate governance-event trend from classifier freshness</x:v>
      </x:c>
      <x:c r="B6" s="36" t="str">
        <x:v>Fix dashboard interpretation</x:v>
      </x:c>
      <x:c r="C6" s="36" t="str">
        <x:v>SELECT DATE(event_time) AS event_day, COUNT(*) AS governance_events,
COUNTIF(classified_at IS NOT NULL) AS classified_events,
AVG(TIMESTAMP_DIFF(classified_at, event_time, MINUTE)) AS avg_event_to_classification_minutes
FROM `db-dev-l4to-mp-github.github_governance.github_governance_events`
WHERE event_time &gt;= TIMESTAMP_SUB(CURRENT_TIMESTAMP(), INTERVAL 30 DAY)
GROUP BY event_day ORDER BY event_day;</x:v>
      </x:c>
      <x:c r="D6" s="36" t="str">
        <x:v>Use event_day for governance trends; build separate freshness chart using classification lag.</x:v>
      </x:c>
      <x:c r="E6" s="36" t="str">
        <x:v>30-day event_time partition filter included.</x:v>
      </x:c>
      <x:c r="F6" s="36" t="str">
        <x:v>The current spike may be genuine bulk automation activity, not Grafana using wrong timestamp.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b2f36447b5f4e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45" hidden="0" customWidth="1"/>
    <x:col min="4" max="4" width="12" hidden="0" customWidth="1"/>
    <x:col min="5" max="5" width="28" hidden="0" customWidth="1"/>
    <x:col min="6" max="6" width="42" hidden="0" customWidth="1"/>
    <x:col min="7" max="7" width="30" hidden="0" customWidth="1"/>
  </x:cols>
  <x:sheetData>
    <x:row r="1">
      <x:c r="A1" s="5" t="str">
        <x:v>Implementation Roadmap — Security Coverage and Dashboard Evolution</x:v>
      </x:c>
      <x:c r="B1" s="5"/>
      <x:c r="C1" s="5"/>
      <x:c r="D1" s="5"/>
      <x:c r="E1" s="5"/>
      <x:c r="F1" s="5"/>
      <x:c r="G1" s="5"/>
    </x:row>
    <x:row r="2">
      <x:c r="A2" s="30" t="str">
        <x:v>Order</x:v>
      </x:c>
      <x:c r="B2" s="30" t="str">
        <x:v>Work item</x:v>
      </x:c>
      <x:c r="C2" s="30" t="str">
        <x:v>Deliverable</x:v>
      </x:c>
      <x:c r="D2" s="30" t="str">
        <x:v>Priority</x:v>
      </x:c>
      <x:c r="E2" s="30" t="str">
        <x:v>Dependency</x:v>
      </x:c>
      <x:c r="F2" s="30" t="str">
        <x:v>Definition of done</x:v>
      </x:c>
      <x:c r="G2" s="30" t="str">
        <x:v>Owner / decision needed</x:v>
      </x:c>
    </x:row>
    <x:row r="3" ht="42" customHeight="1">
      <x:c r="A3" s="36" t="n">
        <x:v>1</x:v>
      </x:c>
      <x:c r="B3" s="36" t="str">
        <x:v>Merge existing exception/classifier PR</x:v>
      </x:c>
      <x:c r="C3" s="36" t="str">
        <x:v>15-minute classifier; exact approved automation overrides; correct availability area</x:v>
      </x:c>
      <x:c r="D3" s="36" t="str">
        <x:v>P0</x:v>
      </x:c>
      <x:c r="E3" s="36" t="str">
        <x:v>PR approvals</x:v>
      </x:c>
      <x:c r="F3" s="36" t="str">
        <x:v>New records arrive within 15 min; no duplicates; approved four patterns = MEDIUM.</x:v>
      </x:c>
      <x:c r="G3" s="36" t="str">
        <x:v>Ayush + reviewers</x:v>
      </x:c>
    </x:row>
    <x:row r="4" ht="42" customHeight="1">
      <x:c r="A4" s="36" t="n">
        <x:v>2</x:v>
      </x:c>
      <x:c r="B4" s="36" t="str">
        <x:v>Run one-time 180-day reclassification</x:v>
      </x:c>
      <x:c r="C4" s="36" t="str">
        <x:v>Historical approved automation lowered to MEDIUM</x:v>
      </x:c>
      <x:c r="D4" s="36" t="str">
        <x:v>P0</x:v>
      </x:c>
      <x:c r="E4" s="36" t="str">
        <x:v>Exception table seeded</x:v>
      </x:c>
      <x:c r="F4" s="36" t="str">
        <x:v>High queue drops while critical technical-account suspensions remain HIGH.</x:v>
      </x:c>
      <x:c r="G4" s="36" t="str">
        <x:v>Ayush</x:v>
      </x:c>
    </x:row>
    <x:row r="5" ht="42" customHeight="1">
      <x:c r="A5" s="36" t="n">
        <x:v>3</x:v>
      </x:c>
      <x:c r="B5" s="36" t="str">
        <x:v>Run Advanced Security action inventory</x:v>
      </x:c>
      <x:c r="C5" s="36" t="str">
        <x:v>Actual source-action list and volume report</x:v>
      </x:c>
      <x:c r="D5" s="36" t="str">
        <x:v>P1</x:v>
      </x:c>
      <x:c r="E5" s="36" t="str">
        <x:v>Raw normalized table</x:v>
      </x:c>
      <x:c r="F5" s="36" t="str">
        <x:v>Confirm which candidate actions exist in your stream.</x:v>
      </x:c>
      <x:c r="G5" s="36" t="str">
        <x:v>Ayush + security owner</x:v>
      </x:c>
    </x:row>
    <x:row r="6" ht="42" customHeight="1">
      <x:c r="A6" s="36" t="n">
        <x:v>4</x:v>
      </x:c>
      <x:c r="B6" s="36" t="str">
        <x:v>Create Security Controls v1 classifier rules</x:v>
      </x:c>
      <x:c r="C6" s="36" t="str">
        <x:v>Critical events for push protection, GHAS, CodeQL, security configuration removal</x:v>
      </x:c>
      <x:c r="D6" s="36" t="str">
        <x:v>P1</x:v>
      </x:c>
      <x:c r="E6" s="36" t="str">
        <x:v>Manager/security decision on priority</x:v>
      </x:c>
      <x:c r="F6" s="36" t="str">
        <x:v>Manual disablements captured as CRITICAL with actor/repo/org evidence.</x:v>
      </x:c>
      <x:c r="G6" s="36" t="str">
        <x:v>Ayush + security owner</x:v>
      </x:c>
    </x:row>
    <x:row r="7" ht="42" customHeight="1">
      <x:c r="A7" s="36" t="n">
        <x:v>5</x:v>
      </x:c>
      <x:c r="B7" s="36" t="str">
        <x:v>Add Security Control Posture Grafana dashboard</x:v>
      </x:c>
      <x:c r="C7" s="36" t="str">
        <x:v>Critical disablement queue and posture trend</x:v>
      </x:c>
      <x:c r="D7" s="36" t="str">
        <x:v>P1</x:v>
      </x:c>
      <x:c r="E7" s="36" t="str">
        <x:v>Curated security events</x:v>
      </x:c>
      <x:c r="F7" s="36" t="str">
        <x:v>Stakeholder can see disabled/failed controls and drill into responsible actor.</x:v>
      </x:c>
      <x:c r="G7" s="36" t="str">
        <x:v>Ayush</x:v>
      </x:c>
    </x:row>
    <x:row r="8" ht="42" customHeight="1">
      <x:c r="A8" s="36" t="n">
        <x:v>6</x:v>
      </x:c>
      <x:c r="B8" s="36" t="str">
        <x:v>Build Repository Governance Drilldown</x:v>
      </x:c>
      <x:c r="C8" s="36" t="str">
        <x:v>Variable-driven Grafana dashboard</x:v>
      </x:c>
      <x:c r="D8" s="36" t="str">
        <x:v>P1</x:v>
      </x:c>
      <x:c r="E8" s="36" t="str">
        <x:v>Overview dashboard data</x:v>
      </x:c>
      <x:c r="F8" s="36" t="str">
        <x:v>Repository timeline and recent high/critical governance events are reviewable.</x:v>
      </x:c>
      <x:c r="G8" s="36" t="str">
        <x:v>Ayush</x:v>
      </x:c>
    </x:row>
    <x:row r="9" ht="42" customHeight="1">
      <x:c r="A9" s="36" t="n">
        <x:v>7</x:v>
      </x:c>
      <x:c r="B9" s="36" t="str">
        <x:v>Add alert metadata ingestion</x:v>
      </x:c>
      <x:c r="C9" s="36" t="str">
        <x:v>Secret scanning, CodeQL, Dependabot alert details and severity</x:v>
      </x:c>
      <x:c r="D9" s="36" t="str">
        <x:v>P2</x:v>
      </x:c>
      <x:c r="E9" s="36" t="str">
        <x:v>GitHub security APIs / permissions</x:v>
      </x:c>
      <x:c r="F9" s="36" t="str">
        <x:v>Alerts can be prioritized by severity and status, not just audit action.</x:v>
      </x:c>
      <x:c r="G9" s="36" t="str">
        <x:v>Security tooling owner</x:v>
      </x:c>
    </x:row>
    <x:row r="10" ht="42" customHeight="1">
      <x:c r="A10" s="36" t="n">
        <x:v>8</x:v>
      </x:c>
      <x:c r="B10" s="36" t="str">
        <x:v>Add repository posture snapshots</x:v>
      </x:c>
      <x:c r="C10" s="36" t="str">
        <x:v>Current branch protection, security features, visibility, access posture</x:v>
      </x:c>
      <x:c r="D10" s="36" t="str">
        <x:v>P2</x:v>
      </x:c>
      <x:c r="E10" s="36" t="str">
        <x:v>GitHub API inventory</x:v>
      </x:c>
      <x:c r="F10" s="36" t="str">
        <x:v>Dashboard can distinguish current risk posture from historical event activity.</x:v>
      </x:c>
      <x:c r="G10" s="36" t="str">
        <x:v>Platform + security</x:v>
      </x:c>
    </x:row>
    <x:row r="11" ht="42" customHeight="1">
      <x:c r="A11" s="36" t="n">
        <x:v>9</x:v>
      </x:c>
      <x:c r="B11" s="36" t="str">
        <x:v>Custom product UI / reports / AI</x:v>
      </x:c>
      <x:c r="C11" s="36" t="str">
        <x:v>Product-like views similar to mockups; evidence-backed reports</x:v>
      </x:c>
      <x:c r="D11" s="36" t="str">
        <x:v>P3</x:v>
      </x:c>
      <x:c r="E11" s="36" t="str">
        <x:v>Stable curated data + user workflows</x:v>
      </x:c>
      <x:c r="F11" s="36" t="str">
        <x:v>Validated dashboard workflows become frontend requirements.</x:v>
      </x:c>
      <x:c r="G11" s="36" t="str">
        <x:v>Ayush + product owner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c866d9e629f42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65" hidden="0" customWidth="1"/>
    <x:col min="4" max="4" width="55" hidden="0" customWidth="1"/>
  </x:cols>
  <x:sheetData>
    <x:row r="1">
      <x:c r="A1" s="5" t="str">
        <x:v>Official Sources Used for the Catalogue</x:v>
      </x:c>
      <x:c r="B1" s="5"/>
      <x:c r="C1" s="5"/>
      <x:c r="D1" s="5"/>
    </x:row>
    <x:row r="2">
      <x:c r="A2" s="30" t="str">
        <x:v>Source</x:v>
      </x:c>
      <x:c r="B2" s="30" t="str">
        <x:v>Why used</x:v>
      </x:c>
      <x:c r="C2" s="30" t="str">
        <x:v>URL</x:v>
      </x:c>
      <x:c r="D2" s="30" t="str">
        <x:v>Key relevance</x:v>
      </x:c>
    </x:row>
    <x:row r="3" ht="42" customHeight="1">
      <x:c r="A3" s="36" t="str">
        <x:v>GitHub Enterprise Cloud organization audit-log events</x:v>
      </x:c>
      <x:c r="B3" s="36" t="str">
        <x:v>Primary event-name catalogue for repository and organization actions</x:v>
      </x:c>
      <x:c r="C3" s="36" t="str">
        <x:v>https://docs.github.com/en/enterprise-cloud@latest/organizations/keeping-your-organization-secure/managing-security-settings-for-your-organization/audit-log-events-for-your-organization</x:v>
      </x:c>
      <x:c r="D3" s="36" t="str">
        <x:v>Includes repo.advanced_security_disabled, repo.codeql_disabled, repository secret-scanning push-protection actions, security configurations, access actions, and more.</x:v>
      </x:c>
    </x:row>
    <x:row r="4" ht="42" customHeight="1">
      <x:c r="A4" s="36" t="str">
        <x:v>GitHub Enterprise audit-log events</x:v>
      </x:c>
      <x:c r="B4" s="36" t="str">
        <x:v>Enterprise-scope controls and defaults</x:v>
      </x:c>
      <x:c r="C4" s="36" t="str">
        <x:v>https://docs.github.com/en/enterprise-cloud@latest/admin/monitoring-activity-in-your-enterprise/reviewing-audit-logs-for-your-enterprise/audit-log-events-for-your-enterprise</x:v>
      </x:c>
      <x:c r="D4" s="36" t="str">
        <x:v>Includes enterprise Advanced Security and secret-scanning/push-protection defaults and custom pattern controls.</x:v>
      </x:c>
    </x:row>
    <x:row r="5" ht="42" customHeight="1">
      <x:c r="A5" s="36" t="str">
        <x:v>Push protection</x:v>
      </x:c>
      <x:c r="B5" s="36" t="str">
        <x:v>Control purpose and operational security relevance</x:v>
      </x:c>
      <x:c r="C5" s="36" t="str">
        <x:v>https://docs.github.com/en/code-security/concepts/secret-security/push-protection</x:v>
      </x:c>
      <x:c r="D5" s="36" t="str">
        <x:v>Push protection blocks pushes containing detected secrets.</x:v>
      </x:c>
    </x:row>
    <x:row r="6" ht="42" customHeight="1">
      <x:c r="A6" s="36" t="str">
        <x:v>About GitHub Advanced Security</x:v>
      </x:c>
      <x:c r="B6" s="36" t="str">
        <x:v>Product grouping and feature context</x:v>
      </x:c>
      <x:c r="C6" s="36" t="str">
        <x:v>https://docs.github.com/en/get-started/learning-about-github/about-github-advanced-security</x:v>
      </x:c>
      <x:c r="D6" s="36" t="str">
        <x:v>Clarifies Secret Protection and Code Security feature families.</x:v>
      </x:c>
    </x:row>
    <x:row r="7" ht="42" customHeight="1">
      <x:c r="A7" s="36" t="str">
        <x:v>Auditing security alerts</x:v>
      </x:c>
      <x:c r="B7" s="36" t="str">
        <x:v>Alert and bypass audit scope</x:v>
      </x:c>
      <x:c r="C7" s="36" t="str">
        <x:v>https://docs.github.com/en/code-security/concepts/security-at-scale/auditing-security-alerts</x:v>
      </x:c>
      <x:c r="D7" s="36" t="str">
        <x:v>Documents audit-log tracking for secret-scanning lifecycle and push-protection bypasses.</x:v>
      </x:c>
    </x:row>
    <x:row r="8" ht="42" customHeight="1">
      <x:c r="A8" s="36" t="str">
        <x:v>Code security configurations API</x:v>
      </x:c>
      <x:c r="B8" s="36" t="str">
        <x:v>Future posture inventory path</x:v>
      </x:c>
      <x:c r="C8" s="36" t="str">
        <x:v>https://docs.github.com/en/enterprise-cloud@latest/rest/code-security/configurations</x:v>
      </x:c>
      <x:c r="D8" s="36" t="str">
        <x:v>Supports later snapshots of code security configurations at enterprise/organization level.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d103bf417354853"/>
  </x:tableParts>
</x:worksheet>
</file>